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codeName="ThisWorkbook"/>
  <bookViews>
    <workbookView visibility="visible" minimized="0" showHorizontalScroll="1" showVerticalScroll="1" showSheetTabs="1" xWindow="0" yWindow="660" windowWidth="30240" windowHeight="18980" tabRatio="772" firstSheet="0" activeTab="0" autoFilterDateGrouping="1"/>
  </bookViews>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Synthetic rating" sheetId="7" state="visible" r:id="rId7"/>
    <sheet name="R&amp; D converter" sheetId="8" state="visible" r:id="rId8"/>
    <sheet name="Operating lease converter" sheetId="9" state="visible" r:id="rId9"/>
    <sheet name="Cost of capital worksheet" sheetId="10" state="visible" r:id="rId10"/>
    <sheet name="Failure Rate worksheet" sheetId="11" state="visible" r:id="rId11"/>
    <sheet name="Country equity risk premiums" sheetId="12" state="visible" r:id="rId12"/>
    <sheet name="Industry Averages(US)" sheetId="13" state="visible" r:id="rId13"/>
    <sheet name="Industry Averages (Global)" sheetId="14" state="visible" r:id="rId14"/>
    <sheet name="Input Stat Distributioons" sheetId="15" state="visible" r:id="rId15"/>
    <sheet name="Trailing 12 month Worskheet" sheetId="16" state="visible" r:id="rId16"/>
    <sheet name="Answer keys" sheetId="17" state="visible" r:id="rId17"/>
  </sheets>
  <definedNames/>
  <calcPr calcId="191029" calcMode="auto"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96">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sz val="9"/>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theme="1"/>
      <sz val="12"/>
      <scheme val="minor"/>
    </font>
    <font>
      <name val="Calibri"/>
      <family val="2"/>
      <color rgb="FFFF0000"/>
      <sz val="12"/>
      <scheme val="minor"/>
    </font>
    <font>
      <name val="Helv"/>
      <b val="1"/>
      <color theme="1"/>
      <sz val="12"/>
    </font>
    <font>
      <name val="Helv"/>
      <i val="1"/>
      <color rgb="FFFF0000"/>
      <sz val="12"/>
    </font>
    <font>
      <name val="Helv"/>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Calibri"/>
      <family val="2"/>
      <color theme="0"/>
      <sz val="12"/>
      <scheme val="minor"/>
    </font>
    <font>
      <name val="Helv"/>
      <color theme="0"/>
      <sz val="12"/>
    </font>
    <font>
      <name val="Helv"/>
      <b val="1"/>
      <color theme="0"/>
      <sz val="12"/>
    </font>
    <font>
      <name val="Geneva"/>
      <family val="2"/>
      <i val="1"/>
      <sz val="9"/>
    </font>
    <font>
      <name val="Geneva"/>
      <family val="2"/>
      <sz val="9"/>
    </font>
    <font>
      <name val="Arial"/>
      <family val="2"/>
      <color theme="0"/>
      <sz val="12"/>
    </font>
    <font>
      <name val="Helvetica"/>
      <family val="2"/>
      <color theme="0"/>
      <sz val="10"/>
    </font>
    <font>
      <name val="Geneva"/>
      <charset val="1"/>
      <family val="2"/>
      <color theme="10"/>
      <sz val="9"/>
      <u val="single"/>
    </font>
    <font>
      <name val="Calibri"/>
      <family val="2"/>
      <color theme="1"/>
      <sz val="12"/>
      <u val="single"/>
      <scheme val="minor"/>
    </font>
    <font>
      <name val="Calibri"/>
      <family val="2"/>
      <i val="1"/>
      <sz val="12"/>
      <scheme val="minor"/>
    </font>
    <font>
      <name val="Calibri"/>
      <family val="2"/>
      <color rgb="FF000000"/>
      <sz val="12"/>
      <scheme val="minor"/>
    </font>
    <font>
      <name val="Arial"/>
      <family val="2"/>
      <color theme="1"/>
      <sz val="12"/>
    </font>
    <font>
      <name val="Helvetica"/>
      <family val="2"/>
      <color rgb="FF000000"/>
      <sz val="10"/>
    </font>
    <font>
      <name val="Geneva"/>
      <charset val="1"/>
      <family val="2"/>
      <color theme="1"/>
      <sz val="9"/>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rgb="FF92D050"/>
        <bgColor indexed="64"/>
      </patternFill>
    </fill>
    <fill>
      <patternFill patternType="solid">
        <fgColor theme="2"/>
        <bgColor theme="0" tint="-0.1499984740745262"/>
      </patternFill>
    </fill>
  </fills>
  <borders count="9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style="thin">
        <color indexed="64"/>
      </right>
      <top style="thin">
        <color indexed="64"/>
      </top>
      <bottom style="medium">
        <color theme="1"/>
      </bottom>
      <diagonal/>
    </border>
    <border>
      <left style="thin">
        <color theme="0"/>
      </left>
      <right style="thin">
        <color theme="0"/>
      </right>
      <top style="thin">
        <color theme="0"/>
      </top>
      <bottom style="thin">
        <color theme="0"/>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indexed="64"/>
      </right>
      <top style="medium">
        <color theme="1"/>
      </top>
      <bottom style="medium">
        <color indexed="64"/>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medium">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indexed="64"/>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thin">
        <color theme="1"/>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style="thin">
        <color indexed="64"/>
      </right>
      <top style="thin">
        <color indexed="64"/>
      </top>
      <bottom style="medium">
        <color indexed="64"/>
      </bottom>
      <diagonal/>
    </border>
    <border>
      <left style="medium">
        <color indexed="64"/>
      </left>
      <right style="medium">
        <color theme="1"/>
      </right>
      <top style="medium">
        <color theme="1"/>
      </top>
      <bottom style="medium">
        <color indexed="64"/>
      </bottom>
      <diagonal/>
    </border>
    <border>
      <left style="medium">
        <color theme="1"/>
      </left>
      <right style="medium">
        <color indexed="64"/>
      </right>
      <top style="medium">
        <color theme="1"/>
      </top>
      <bottom style="medium">
        <color indexed="64"/>
      </bottom>
      <diagonal/>
    </border>
    <border>
      <left/>
      <right style="medium">
        <color indexed="64"/>
      </right>
      <top style="medium">
        <color theme="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5">
    <xf numFmtId="0" fontId="3" fillId="0" borderId="0"/>
    <xf numFmtId="43" fontId="3" fillId="0" borderId="0"/>
    <xf numFmtId="44" fontId="3" fillId="0" borderId="0"/>
    <xf numFmtId="9" fontId="3" fillId="0" borderId="0"/>
    <xf numFmtId="0" fontId="89" fillId="0" borderId="0"/>
  </cellStyleXfs>
  <cellXfs count="84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6"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18" fillId="0" borderId="5" applyAlignment="1" pivotButton="0" quotePrefix="0" xfId="0">
      <alignment horizontal="center"/>
    </xf>
    <xf numFmtId="0" fontId="18" fillId="0" borderId="1" applyAlignment="1" pivotButton="0" quotePrefix="0" xfId="0">
      <alignment horizontal="center"/>
    </xf>
    <xf numFmtId="0" fontId="19" fillId="0" borderId="1" pivotButton="0" quotePrefix="0" xfId="0"/>
    <xf numFmtId="0" fontId="19" fillId="0" borderId="0" pivotButton="0" quotePrefix="0" xfId="0"/>
    <xf numFmtId="0" fontId="20" fillId="0" borderId="1" pivotButton="0" quotePrefix="0" xfId="0"/>
    <xf numFmtId="0" fontId="19" fillId="0" borderId="1" applyAlignment="1" pivotButton="0" quotePrefix="0" xfId="0">
      <alignment horizontal="center"/>
    </xf>
    <xf numFmtId="0" fontId="19" fillId="0" borderId="0" applyAlignment="1" pivotButton="0" quotePrefix="0" xfId="0">
      <alignment horizontal="center"/>
    </xf>
    <xf numFmtId="0" fontId="21" fillId="0" borderId="0" pivotButton="0" quotePrefix="0" xfId="0"/>
    <xf numFmtId="0" fontId="21" fillId="0" borderId="1" pivotButton="0" quotePrefix="0" xfId="0"/>
    <xf numFmtId="0" fontId="22" fillId="0" borderId="0" pivotButton="0" quotePrefix="0" xfId="0"/>
    <xf numFmtId="10" fontId="11" fillId="4" borderId="2" applyAlignment="1" pivotButton="0" quotePrefix="0" xfId="0">
      <alignment horizontal="center"/>
    </xf>
    <xf numFmtId="165" fontId="11" fillId="2" borderId="2" pivotButton="0" quotePrefix="0" xfId="0"/>
    <xf numFmtId="0" fontId="19" fillId="5" borderId="1" pivotButton="0" quotePrefix="0" xfId="0"/>
    <xf numFmtId="10" fontId="19" fillId="5" borderId="1" applyAlignment="1" pivotButton="0" quotePrefix="0" xfId="3">
      <alignment horizontal="center"/>
    </xf>
    <xf numFmtId="10" fontId="19" fillId="5" borderId="1" applyAlignment="1" pivotButton="0" quotePrefix="0" xfId="0">
      <alignment horizontal="center"/>
    </xf>
    <xf numFmtId="164" fontId="19" fillId="5" borderId="1" pivotButton="0" quotePrefix="0" xfId="2"/>
    <xf numFmtId="164" fontId="19" fillId="5" borderId="1" applyAlignment="1" pivotButton="0" quotePrefix="0" xfId="2">
      <alignment horizontal="center"/>
    </xf>
    <xf numFmtId="10" fontId="19" fillId="5" borderId="1" pivotButton="0" quotePrefix="0" xfId="3"/>
    <xf numFmtId="10" fontId="19" fillId="5" borderId="1" pivotButton="0" quotePrefix="0" xfId="2"/>
    <xf numFmtId="10" fontId="19" fillId="5" borderId="1" applyAlignment="1" pivotButton="0" quotePrefix="0" xfId="2">
      <alignment horizontal="center"/>
    </xf>
    <xf numFmtId="164" fontId="19" fillId="5" borderId="1" applyAlignment="1" pivotButton="0" quotePrefix="0" xfId="0">
      <alignment horizontal="center"/>
    </xf>
    <xf numFmtId="0" fontId="19" fillId="5" borderId="1" applyAlignment="1" pivotButton="0" quotePrefix="0" xfId="0">
      <alignment horizontal="center"/>
    </xf>
    <xf numFmtId="164" fontId="19" fillId="5" borderId="1" pivotButton="0" quotePrefix="0" xfId="0"/>
    <xf numFmtId="10" fontId="19" fillId="5" borderId="1" pivotButton="0" quotePrefix="0" xfId="0"/>
    <xf numFmtId="166" fontId="19" fillId="5" borderId="1" pivotButton="0" quotePrefix="0" xfId="0"/>
    <xf numFmtId="165" fontId="19" fillId="5" borderId="1" pivotButton="0" quotePrefix="0" xfId="0"/>
    <xf numFmtId="43" fontId="19" fillId="5" borderId="1" pivotButton="0" quotePrefix="0" xfId="1"/>
    <xf numFmtId="164" fontId="57" fillId="5" borderId="1" pivotButton="0" quotePrefix="0" xfId="2"/>
    <xf numFmtId="2" fontId="19" fillId="5" borderId="1" applyAlignment="1" pivotButton="0" quotePrefix="0" xfId="0">
      <alignment horizontal="center"/>
    </xf>
    <xf numFmtId="167" fontId="19" fillId="5" borderId="1" pivotButton="0" quotePrefix="0" xfId="0"/>
    <xf numFmtId="167" fontId="19" fillId="5" borderId="1" applyAlignment="1" pivotButton="0" quotePrefix="0" xfId="0">
      <alignment horizontal="center"/>
    </xf>
    <xf numFmtId="0" fontId="23"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4" fillId="0" borderId="0" pivotButton="0" quotePrefix="0" xfId="0"/>
    <xf numFmtId="0" fontId="25" fillId="0" borderId="0" pivotButton="0" quotePrefix="0" xfId="0"/>
    <xf numFmtId="0" fontId="17" fillId="0" borderId="0" pivotButton="0" quotePrefix="0" xfId="0"/>
    <xf numFmtId="0" fontId="11" fillId="3" borderId="1" applyAlignment="1" pivotButton="0" quotePrefix="0" xfId="0">
      <alignment horizontal="center"/>
    </xf>
    <xf numFmtId="0" fontId="27" fillId="0" borderId="0" pivotButton="0" quotePrefix="0" xfId="0"/>
    <xf numFmtId="0" fontId="7" fillId="6" borderId="0" pivotButton="0" quotePrefix="0" xfId="0"/>
    <xf numFmtId="0" fontId="27" fillId="0" borderId="7" pivotButton="0" quotePrefix="0" xfId="0"/>
    <xf numFmtId="168" fontId="19"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28" fillId="0" borderId="0" pivotButton="0" quotePrefix="0" xfId="0"/>
    <xf numFmtId="2" fontId="11" fillId="4" borderId="1" pivotButton="0" quotePrefix="0" xfId="0"/>
    <xf numFmtId="0" fontId="23" fillId="0" borderId="0" applyAlignment="1" pivotButton="0" quotePrefix="0" xfId="0">
      <alignment horizontal="left"/>
    </xf>
    <xf numFmtId="166" fontId="0" fillId="5" borderId="1" pivotButton="0" quotePrefix="0" xfId="0"/>
    <xf numFmtId="0" fontId="58" fillId="0" borderId="8" applyAlignment="1" pivotButton="0" quotePrefix="0" xfId="0">
      <alignment horizontal="center"/>
    </xf>
    <xf numFmtId="0" fontId="58" fillId="0" borderId="9" applyAlignment="1" pivotButton="0" quotePrefix="0" xfId="0">
      <alignment horizontal="center"/>
    </xf>
    <xf numFmtId="16" fontId="58" fillId="0" borderId="9" applyAlignment="1" pivotButton="0" quotePrefix="0" xfId="0">
      <alignment horizontal="center"/>
    </xf>
    <xf numFmtId="0" fontId="58" fillId="0" borderId="10" applyAlignment="1" pivotButton="0" quotePrefix="0" xfId="0">
      <alignment horizontal="center"/>
    </xf>
    <xf numFmtId="0" fontId="59" fillId="0" borderId="11" pivotButton="0" quotePrefix="0" xfId="0"/>
    <xf numFmtId="0" fontId="59" fillId="0" borderId="12" pivotButton="0" quotePrefix="0" xfId="0"/>
    <xf numFmtId="10" fontId="59" fillId="0" borderId="1" applyAlignment="1" pivotButton="0" quotePrefix="0" xfId="0">
      <alignment horizontal="center"/>
    </xf>
    <xf numFmtId="0" fontId="59" fillId="0" borderId="1" applyAlignment="1" pivotButton="0" quotePrefix="0" xfId="0">
      <alignment horizontal="center"/>
    </xf>
    <xf numFmtId="10" fontId="59" fillId="0" borderId="13" applyAlignment="1" pivotButton="0" quotePrefix="0" xfId="3">
      <alignment horizontal="center"/>
    </xf>
    <xf numFmtId="0" fontId="59" fillId="0" borderId="14" pivotButton="0" quotePrefix="0" xfId="0"/>
    <xf numFmtId="10" fontId="59" fillId="0" borderId="15" applyAlignment="1" pivotButton="0" quotePrefix="0" xfId="0">
      <alignment horizontal="center"/>
    </xf>
    <xf numFmtId="0" fontId="59" fillId="0" borderId="12" applyAlignment="1" pivotButton="0" quotePrefix="0" xfId="0">
      <alignment horizontal="center"/>
    </xf>
    <xf numFmtId="10" fontId="59" fillId="0" borderId="1" applyAlignment="1" pivotButton="0" quotePrefix="0" xfId="3">
      <alignment horizontal="center"/>
    </xf>
    <xf numFmtId="0" fontId="59" fillId="0" borderId="14" applyAlignment="1" pivotButton="0" quotePrefix="0" xfId="0">
      <alignment horizontal="center"/>
    </xf>
    <xf numFmtId="10" fontId="59" fillId="0" borderId="15" applyAlignment="1" pivotButton="0" quotePrefix="0" xfId="3">
      <alignment horizontal="center"/>
    </xf>
    <xf numFmtId="167" fontId="59" fillId="0" borderId="16" pivotButton="0" quotePrefix="0" xfId="2"/>
    <xf numFmtId="0" fontId="59" fillId="0" borderId="16" pivotButton="0" quotePrefix="0" xfId="0"/>
    <xf numFmtId="0" fontId="59" fillId="0" borderId="17" pivotButton="0" quotePrefix="0" xfId="0"/>
    <xf numFmtId="167" fontId="59" fillId="0" borderId="0" pivotButton="0" quotePrefix="0" xfId="2"/>
    <xf numFmtId="0" fontId="59" fillId="0" borderId="0" pivotButton="0" quotePrefix="0" xfId="0"/>
    <xf numFmtId="0" fontId="59" fillId="0" borderId="18" pivotButton="0" quotePrefix="0" xfId="0"/>
    <xf numFmtId="0" fontId="59" fillId="0" borderId="0" applyAlignment="1" pivotButton="0" quotePrefix="0" xfId="0">
      <alignment horizontal="left"/>
    </xf>
    <xf numFmtId="0" fontId="59" fillId="0" borderId="19" pivotButton="0" quotePrefix="0" xfId="0"/>
    <xf numFmtId="10" fontId="59" fillId="0" borderId="20" applyAlignment="1" pivotButton="0" quotePrefix="0" xfId="3">
      <alignment horizontal="center"/>
    </xf>
    <xf numFmtId="10" fontId="59" fillId="0" borderId="3" applyAlignment="1" pivotButton="0" quotePrefix="0" xfId="0">
      <alignment horizontal="center"/>
    </xf>
    <xf numFmtId="0" fontId="59" fillId="0" borderId="21" applyAlignment="1" pivotButton="0" quotePrefix="0" xfId="0">
      <alignment horizontal="center"/>
    </xf>
    <xf numFmtId="166" fontId="59" fillId="0" borderId="22" applyAlignment="1" pivotButton="0" quotePrefix="0" xfId="0">
      <alignment horizontal="left"/>
    </xf>
    <xf numFmtId="0" fontId="29"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0" fillId="4" borderId="1" pivotButton="0" quotePrefix="0" xfId="0"/>
    <xf numFmtId="172" fontId="29" fillId="0" borderId="0" applyAlignment="1" pivotButton="0" quotePrefix="0" xfId="0">
      <alignment horizontal="right"/>
    </xf>
    <xf numFmtId="164" fontId="0" fillId="0" borderId="0" pivotButton="0" quotePrefix="0" xfId="0"/>
    <xf numFmtId="10" fontId="0" fillId="4" borderId="1" pivotButton="0" quotePrefix="0" xfId="0"/>
    <xf numFmtId="0" fontId="30" fillId="0" borderId="0" pivotButton="0" quotePrefix="0" xfId="0"/>
    <xf numFmtId="0" fontId="27" fillId="0" borderId="0" applyAlignment="1" pivotButton="0" quotePrefix="0" xfId="0">
      <alignment horizontal="left"/>
    </xf>
    <xf numFmtId="0" fontId="61" fillId="0" borderId="0" pivotButton="0" quotePrefix="0" xfId="0"/>
    <xf numFmtId="17" fontId="62" fillId="0" borderId="1" pivotButton="0" quotePrefix="0" xfId="0"/>
    <xf numFmtId="2" fontId="59" fillId="7" borderId="13" applyAlignment="1" pivotButton="0" quotePrefix="0" xfId="0">
      <alignment horizontal="center"/>
    </xf>
    <xf numFmtId="2" fontId="59" fillId="7" borderId="1" applyAlignment="1" pivotButton="0" quotePrefix="0" xfId="0">
      <alignment horizontal="center"/>
    </xf>
    <xf numFmtId="10" fontId="59" fillId="7" borderId="1" applyAlignment="1" pivotButton="0" quotePrefix="0" xfId="0">
      <alignment horizontal="center"/>
    </xf>
    <xf numFmtId="10" fontId="59" fillId="7" borderId="6" applyAlignment="1" pivotButton="0" quotePrefix="0" xfId="0">
      <alignment horizontal="center"/>
    </xf>
    <xf numFmtId="10" fontId="59" fillId="7" borderId="13" applyAlignment="1" pivotButton="0" quotePrefix="0" xfId="0">
      <alignment horizontal="center"/>
    </xf>
    <xf numFmtId="0" fontId="63" fillId="7" borderId="9" pivotButton="0" quotePrefix="0" xfId="0"/>
    <xf numFmtId="0" fontId="64" fillId="7" borderId="9" pivotButton="0" quotePrefix="0" xfId="0"/>
    <xf numFmtId="0" fontId="64" fillId="7" borderId="1" pivotButton="0" quotePrefix="0" xfId="0"/>
    <xf numFmtId="10" fontId="64" fillId="7" borderId="1" pivotButton="0" quotePrefix="0" xfId="3"/>
    <xf numFmtId="0" fontId="58" fillId="0" borderId="23" applyAlignment="1" pivotButton="0" quotePrefix="0" xfId="0">
      <alignment horizontal="center"/>
    </xf>
    <xf numFmtId="173" fontId="58" fillId="0" borderId="23" applyAlignment="1" pivotButton="0" quotePrefix="0" xfId="0">
      <alignment horizontal="center"/>
    </xf>
    <xf numFmtId="173" fontId="58" fillId="0" borderId="24" applyAlignment="1" pivotButton="0" quotePrefix="0" xfId="0">
      <alignment horizontal="center"/>
    </xf>
    <xf numFmtId="166" fontId="59" fillId="0" borderId="1" applyAlignment="1" pivotButton="0" quotePrefix="0" xfId="2">
      <alignment horizontal="center"/>
    </xf>
    <xf numFmtId="166" fontId="59" fillId="0" borderId="15" applyAlignment="1" pivotButton="0" quotePrefix="0" xfId="2">
      <alignment horizontal="center"/>
    </xf>
    <xf numFmtId="166" fontId="59" fillId="0" borderId="6" applyAlignment="1" pivotButton="0" quotePrefix="0" xfId="2">
      <alignment horizontal="center"/>
    </xf>
    <xf numFmtId="167" fontId="11" fillId="5" borderId="1" pivotButton="0" quotePrefix="0" xfId="2"/>
    <xf numFmtId="172" fontId="29" fillId="4" borderId="1" applyAlignment="1" pivotButton="0" quotePrefix="0" xfId="0">
      <alignment horizontal="right"/>
    </xf>
    <xf numFmtId="0" fontId="31" fillId="0" borderId="0" pivotButton="0" quotePrefix="0" xfId="0"/>
    <xf numFmtId="0" fontId="32" fillId="0" borderId="0" applyAlignment="1" pivotButton="0" quotePrefix="0" xfId="0">
      <alignment wrapText="1"/>
    </xf>
    <xf numFmtId="0" fontId="32" fillId="0" borderId="1" applyAlignment="1" pivotButton="0" quotePrefix="0" xfId="0">
      <alignment horizontal="center" wrapText="1"/>
    </xf>
    <xf numFmtId="0" fontId="58" fillId="0" borderId="1" applyAlignment="1" pivotButton="0" quotePrefix="0" xfId="0">
      <alignment horizontal="center"/>
    </xf>
    <xf numFmtId="174" fontId="65" fillId="0" borderId="1" applyAlignment="1" pivotButton="0" quotePrefix="0" xfId="3">
      <alignment horizontal="center"/>
    </xf>
    <xf numFmtId="10" fontId="65" fillId="0" borderId="1" applyAlignment="1" pivotButton="0" quotePrefix="0" xfId="0">
      <alignment horizontal="center"/>
    </xf>
    <xf numFmtId="2" fontId="65" fillId="0" borderId="1" applyAlignment="1" pivotButton="0" quotePrefix="0" xfId="0">
      <alignment horizontal="center"/>
    </xf>
    <xf numFmtId="0" fontId="28" fillId="6" borderId="0" pivotButton="0" quotePrefix="0" xfId="0"/>
    <xf numFmtId="0" fontId="28"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4" fillId="0" borderId="0" applyAlignment="1" pivotButton="0" quotePrefix="0" xfId="0">
      <alignment horizontal="left" vertical="top" wrapText="1"/>
    </xf>
    <xf numFmtId="0" fontId="34" fillId="4" borderId="1" applyAlignment="1" pivotButton="0" quotePrefix="0" xfId="0">
      <alignment horizontal="center" vertical="top" wrapText="1"/>
    </xf>
    <xf numFmtId="10" fontId="0" fillId="4" borderId="1" applyAlignment="1" pivotButton="0" quotePrefix="0" xfId="0">
      <alignment horizontal="center"/>
    </xf>
    <xf numFmtId="10" fontId="34" fillId="5" borderId="1" applyAlignment="1" pivotButton="0" quotePrefix="0" xfId="3">
      <alignment horizontal="center" vertical="top" wrapText="1"/>
    </xf>
    <xf numFmtId="0" fontId="0" fillId="4" borderId="1" applyAlignment="1" pivotButton="0" quotePrefix="0" xfId="0">
      <alignment horizontal="center"/>
    </xf>
    <xf numFmtId="0" fontId="37" fillId="0" borderId="0" pivotButton="0" quotePrefix="0" xfId="0"/>
    <xf numFmtId="0" fontId="38" fillId="0" borderId="0" pivotButton="0" quotePrefix="0" xfId="0"/>
    <xf numFmtId="0" fontId="39" fillId="0" borderId="0" pivotButton="0" quotePrefix="0" xfId="0"/>
    <xf numFmtId="0" fontId="40" fillId="0" borderId="0" pivotButton="0" quotePrefix="0" xfId="0"/>
    <xf numFmtId="17" fontId="40" fillId="4" borderId="1" applyAlignment="1" pivotButton="0" quotePrefix="0" xfId="0">
      <alignment horizontal="center"/>
    </xf>
    <xf numFmtId="0" fontId="39" fillId="4" borderId="1" pivotButton="0" quotePrefix="0" xfId="0"/>
    <xf numFmtId="0" fontId="41" fillId="0" borderId="1" pivotButton="0" quotePrefix="0" xfId="0"/>
    <xf numFmtId="0" fontId="39" fillId="0" borderId="1" pivotButton="0" quotePrefix="0" xfId="0"/>
    <xf numFmtId="164" fontId="39" fillId="4" borderId="1" applyAlignment="1" pivotButton="0" quotePrefix="0" xfId="2">
      <alignment horizontal="center"/>
    </xf>
    <xf numFmtId="0" fontId="68" fillId="0" borderId="0" pivotButton="0" quotePrefix="0" xfId="0"/>
    <xf numFmtId="164" fontId="39" fillId="8" borderId="13" applyAlignment="1" pivotButton="0" quotePrefix="0" xfId="0">
      <alignment horizontal="center"/>
    </xf>
    <xf numFmtId="164" fontId="39" fillId="4" borderId="9" applyAlignment="1" pivotButton="0" quotePrefix="0" xfId="2">
      <alignment horizontal="center"/>
    </xf>
    <xf numFmtId="2" fontId="39" fillId="4" borderId="9" applyAlignment="1" pivotButton="0" quotePrefix="0" xfId="2">
      <alignment horizontal="center"/>
    </xf>
    <xf numFmtId="10" fontId="39" fillId="4" borderId="1" applyAlignment="1" pivotButton="0" quotePrefix="0" xfId="2">
      <alignment horizontal="center"/>
    </xf>
    <xf numFmtId="164" fontId="39" fillId="0" borderId="0" applyAlignment="1" pivotButton="0" quotePrefix="0" xfId="2">
      <alignment horizontal="center"/>
    </xf>
    <xf numFmtId="0" fontId="39" fillId="0" borderId="30" pivotButton="0" quotePrefix="0" xfId="0"/>
    <xf numFmtId="10" fontId="39" fillId="5" borderId="1" pivotButton="0" quotePrefix="0" xfId="0"/>
    <xf numFmtId="0" fontId="69" fillId="0" borderId="1" pivotButton="0" quotePrefix="0" xfId="0"/>
    <xf numFmtId="10" fontId="69" fillId="4" borderId="1" applyAlignment="1" pivotButton="0" quotePrefix="0" xfId="2">
      <alignment horizontal="center"/>
    </xf>
    <xf numFmtId="10" fontId="39" fillId="4" borderId="1" applyAlignment="1" pivotButton="0" quotePrefix="0" xfId="0">
      <alignment horizontal="center"/>
    </xf>
    <xf numFmtId="2" fontId="39" fillId="4" borderId="1" applyAlignment="1" pivotButton="0" quotePrefix="0" xfId="0">
      <alignment horizontal="center"/>
    </xf>
    <xf numFmtId="0" fontId="39" fillId="0" borderId="31" pivotButton="0" quotePrefix="0" xfId="0"/>
    <xf numFmtId="167" fontId="39" fillId="5" borderId="1" pivotButton="0" quotePrefix="0" xfId="0"/>
    <xf numFmtId="10" fontId="39" fillId="0" borderId="0" pivotButton="0" quotePrefix="0" xfId="0"/>
    <xf numFmtId="0" fontId="39" fillId="0" borderId="32" pivotButton="0" quotePrefix="0" xfId="0"/>
    <xf numFmtId="10" fontId="39" fillId="6" borderId="0" applyAlignment="1" pivotButton="0" quotePrefix="0" xfId="0">
      <alignment horizontal="center"/>
    </xf>
    <xf numFmtId="2" fontId="39" fillId="0" borderId="0" applyAlignment="1" pivotButton="0" quotePrefix="0" xfId="0">
      <alignment horizontal="center"/>
    </xf>
    <xf numFmtId="166" fontId="39" fillId="4" borderId="1" applyAlignment="1" pivotButton="0" quotePrefix="0" xfId="0">
      <alignment horizontal="center"/>
    </xf>
    <xf numFmtId="166" fontId="39" fillId="0" borderId="0" applyAlignment="1" pivotButton="0" quotePrefix="0" xfId="0">
      <alignment horizontal="center"/>
    </xf>
    <xf numFmtId="0" fontId="41" fillId="0" borderId="0" pivotButton="0" quotePrefix="0" xfId="0"/>
    <xf numFmtId="10" fontId="39" fillId="0" borderId="0" applyAlignment="1" pivotButton="0" quotePrefix="0" xfId="0">
      <alignment horizontal="center"/>
    </xf>
    <xf numFmtId="0" fontId="42" fillId="6" borderId="0" pivotButton="0" quotePrefix="0" xfId="0"/>
    <xf numFmtId="0" fontId="41" fillId="6" borderId="0" pivotButton="0" quotePrefix="0" xfId="0"/>
    <xf numFmtId="9" fontId="39" fillId="4" borderId="1" applyAlignment="1" pivotButton="0" quotePrefix="0" xfId="0">
      <alignment horizontal="center"/>
    </xf>
    <xf numFmtId="9" fontId="39" fillId="6" borderId="0" applyAlignment="1" pivotButton="0" quotePrefix="0" xfId="0">
      <alignment horizontal="center"/>
    </xf>
    <xf numFmtId="166" fontId="39" fillId="7" borderId="0" applyAlignment="1" pivotButton="0" quotePrefix="0" xfId="0">
      <alignment horizontal="center"/>
    </xf>
    <xf numFmtId="10" fontId="39" fillId="4" borderId="1" applyAlignment="1" pivotButton="0" quotePrefix="0" xfId="3">
      <alignment horizontal="center"/>
    </xf>
    <xf numFmtId="166" fontId="37" fillId="4" borderId="1" applyAlignment="1" pivotButton="0" quotePrefix="0" xfId="0">
      <alignment horizontal="center"/>
    </xf>
    <xf numFmtId="0" fontId="38" fillId="4" borderId="1" pivotButton="0" quotePrefix="0" xfId="0"/>
    <xf numFmtId="0" fontId="38" fillId="5" borderId="1" pivotButton="0" quotePrefix="0" xfId="0"/>
    <xf numFmtId="0" fontId="43" fillId="0" borderId="0" pivotButton="0" quotePrefix="0" xfId="0"/>
    <xf numFmtId="0" fontId="64" fillId="7" borderId="0" pivotButton="0" quotePrefix="0" xfId="0"/>
    <xf numFmtId="0" fontId="44" fillId="0" borderId="0" pivotButton="0" quotePrefix="0" xfId="0"/>
    <xf numFmtId="0" fontId="70" fillId="0" borderId="0" pivotButton="0" quotePrefix="0" xfId="0"/>
    <xf numFmtId="0" fontId="70" fillId="0" borderId="1" pivotButton="0" quotePrefix="0" xfId="0"/>
    <xf numFmtId="0" fontId="71" fillId="0" borderId="1" applyAlignment="1" pivotButton="0" quotePrefix="0" xfId="0">
      <alignment horizontal="center"/>
    </xf>
    <xf numFmtId="10" fontId="70" fillId="7" borderId="1" applyAlignment="1" pivotButton="0" quotePrefix="0" xfId="0">
      <alignment horizontal="center"/>
    </xf>
    <xf numFmtId="10" fontId="0" fillId="0" borderId="0" pivotButton="0" quotePrefix="0" xfId="0"/>
    <xf numFmtId="0" fontId="70" fillId="0" borderId="1" applyAlignment="1" pivotButton="0" quotePrefix="0" xfId="0">
      <alignment horizontal="center"/>
    </xf>
    <xf numFmtId="0" fontId="45" fillId="0" borderId="0" pivotButton="0" quotePrefix="0" xfId="0"/>
    <xf numFmtId="0" fontId="70" fillId="0" borderId="0" applyAlignment="1" pivotButton="0" quotePrefix="0" xfId="0">
      <alignment horizontal="center"/>
    </xf>
    <xf numFmtId="10" fontId="70" fillId="0" borderId="0" applyAlignment="1" pivotButton="0" quotePrefix="0" xfId="0">
      <alignment horizontal="center"/>
    </xf>
    <xf numFmtId="0" fontId="59" fillId="7" borderId="5" applyAlignment="1" pivotButton="0" quotePrefix="0" xfId="0">
      <alignment horizontal="left"/>
    </xf>
    <xf numFmtId="0" fontId="59" fillId="7" borderId="5" applyAlignment="1" pivotButton="0" quotePrefix="0" xfId="0">
      <alignment wrapText="1"/>
    </xf>
    <xf numFmtId="0" fontId="59" fillId="7" borderId="5" pivotButton="0" quotePrefix="0" xfId="0"/>
    <xf numFmtId="0" fontId="59" fillId="7" borderId="27" pivotButton="0" quotePrefix="0" xfId="0"/>
    <xf numFmtId="0" fontId="59" fillId="7" borderId="33" pivotButton="0" quotePrefix="0" xfId="0"/>
    <xf numFmtId="0" fontId="8" fillId="0" borderId="0" applyAlignment="1" pivotButton="0" quotePrefix="0" xfId="0">
      <alignment horizontal="center"/>
    </xf>
    <xf numFmtId="0" fontId="46" fillId="0" borderId="0" applyAlignment="1" pivotButton="0" quotePrefix="0" xfId="0">
      <alignment horizontal="center"/>
    </xf>
    <xf numFmtId="0" fontId="8" fillId="0" borderId="1" pivotButton="0" quotePrefix="0" xfId="0"/>
    <xf numFmtId="0" fontId="47" fillId="0" borderId="1" applyAlignment="1" pivotButton="0" quotePrefix="0" xfId="0">
      <alignment horizontal="center"/>
    </xf>
    <xf numFmtId="0" fontId="45" fillId="0" borderId="7" pivotButton="0" quotePrefix="0" xfId="0"/>
    <xf numFmtId="0" fontId="45"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47" fillId="0" borderId="0" applyAlignment="1" pivotButton="0" quotePrefix="0" xfId="0">
      <alignment horizontal="center"/>
    </xf>
    <xf numFmtId="0" fontId="47"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46" fillId="0" borderId="7" pivotButton="0" quotePrefix="0" xfId="0"/>
    <xf numFmtId="0" fontId="47" fillId="0" borderId="16" applyAlignment="1" pivotButton="0" quotePrefix="0" xfId="0">
      <alignment horizontal="center"/>
    </xf>
    <xf numFmtId="0" fontId="47" fillId="0" borderId="17" applyAlignment="1" pivotButton="0" quotePrefix="0" xfId="0">
      <alignment horizontal="center"/>
    </xf>
    <xf numFmtId="0" fontId="47" fillId="0" borderId="30" pivotButton="0" quotePrefix="0" xfId="0"/>
    <xf numFmtId="0" fontId="8" fillId="0" borderId="1" applyAlignment="1" pivotButton="0" quotePrefix="0" xfId="0">
      <alignment wrapText="1"/>
    </xf>
    <xf numFmtId="0" fontId="8" fillId="0" borderId="31" applyAlignment="1" pivotButton="0" quotePrefix="0" xfId="0">
      <alignment horizontal="center"/>
    </xf>
    <xf numFmtId="0" fontId="8" fillId="0" borderId="32" applyAlignment="1" pivotButton="0" quotePrefix="0" xfId="0">
      <alignment horizontal="center"/>
    </xf>
    <xf numFmtId="10" fontId="27" fillId="7" borderId="3" applyAlignment="1" pivotButton="0" quotePrefix="0" xfId="0">
      <alignment horizontal="center"/>
    </xf>
    <xf numFmtId="0" fontId="50" fillId="6" borderId="35" applyAlignment="1" pivotButton="0" quotePrefix="0" xfId="0">
      <alignment vertical="center"/>
    </xf>
    <xf numFmtId="0" fontId="50" fillId="6" borderId="36" pivotButton="0" quotePrefix="0" xfId="0"/>
    <xf numFmtId="0" fontId="50" fillId="6" borderId="37" pivotButton="0" quotePrefix="0" xfId="0"/>
    <xf numFmtId="0" fontId="27" fillId="7" borderId="19" pivotButton="0" quotePrefix="0" xfId="0"/>
    <xf numFmtId="0" fontId="27" fillId="0" borderId="0" applyAlignment="1" pivotButton="0" quotePrefix="0" xfId="0">
      <alignment horizontal="center"/>
    </xf>
    <xf numFmtId="0" fontId="27"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48" fillId="6" borderId="35" applyAlignment="1" pivotButton="0" quotePrefix="0" xfId="0">
      <alignment horizontal="center" vertical="center" wrapText="1"/>
    </xf>
    <xf numFmtId="164" fontId="38" fillId="2" borderId="1" pivotButton="0" quotePrefix="0" xfId="0"/>
    <xf numFmtId="164" fontId="38" fillId="2" borderId="1" pivotButton="0" quotePrefix="0" xfId="2"/>
    <xf numFmtId="2" fontId="38" fillId="2" borderId="1" pivotButton="0" quotePrefix="0" xfId="0"/>
    <xf numFmtId="10" fontId="38" fillId="2" borderId="1" pivotButton="0" quotePrefix="0" xfId="3"/>
    <xf numFmtId="10" fontId="38" fillId="2" borderId="1" pivotButton="0" quotePrefix="0" xfId="0"/>
    <xf numFmtId="4" fontId="38" fillId="2" borderId="1" pivotButton="0" quotePrefix="0" xfId="0"/>
    <xf numFmtId="0" fontId="51" fillId="0" borderId="0" pivotButton="0" quotePrefix="0" xfId="0"/>
    <xf numFmtId="0" fontId="53" fillId="0" borderId="0" pivotButton="0" quotePrefix="0" xfId="0"/>
    <xf numFmtId="0" fontId="38" fillId="0" borderId="1" pivotButton="0" quotePrefix="0" xfId="0"/>
    <xf numFmtId="164" fontId="38" fillId="5" borderId="2" pivotButton="0" quotePrefix="0" xfId="2"/>
    <xf numFmtId="165" fontId="38" fillId="5" borderId="2" pivotButton="0" quotePrefix="0" xfId="0"/>
    <xf numFmtId="0" fontId="38" fillId="0" borderId="1" applyAlignment="1" pivotButton="0" quotePrefix="0" xfId="0">
      <alignment horizontal="center"/>
    </xf>
    <xf numFmtId="3" fontId="38" fillId="0" borderId="1" applyAlignment="1" pivotButton="0" quotePrefix="0" xfId="0">
      <alignment horizontal="center"/>
    </xf>
    <xf numFmtId="10" fontId="45" fillId="0" borderId="1" applyAlignment="1" pivotButton="0" quotePrefix="0" xfId="0">
      <alignment horizontal="center"/>
    </xf>
    <xf numFmtId="175" fontId="45" fillId="0" borderId="1" applyAlignment="1" pivotButton="0" quotePrefix="0" xfId="1">
      <alignment horizontal="center"/>
    </xf>
    <xf numFmtId="10" fontId="38" fillId="0" borderId="1" applyAlignment="1" pivotButton="0" quotePrefix="0" xfId="0">
      <alignment horizontal="center"/>
    </xf>
    <xf numFmtId="0" fontId="38" fillId="0" borderId="0" applyAlignment="1" pivotButton="0" quotePrefix="0" xfId="0">
      <alignment horizontal="center"/>
    </xf>
    <xf numFmtId="168" fontId="38" fillId="0" borderId="1" applyAlignment="1" pivotButton="0" quotePrefix="0" xfId="0">
      <alignment horizontal="center"/>
    </xf>
    <xf numFmtId="0" fontId="45" fillId="0" borderId="6" applyAlignment="1" pivotButton="0" quotePrefix="0" xfId="0">
      <alignment horizontal="center"/>
    </xf>
    <xf numFmtId="0" fontId="52" fillId="0" borderId="0" pivotButton="0" quotePrefix="0" xfId="0"/>
    <xf numFmtId="0" fontId="54" fillId="0" borderId="0" pivotButton="0" quotePrefix="0" xfId="0"/>
    <xf numFmtId="0" fontId="55" fillId="0" borderId="0" pivotButton="0" quotePrefix="0" xfId="0"/>
    <xf numFmtId="0" fontId="50" fillId="0" borderId="0" pivotButton="0" quotePrefix="0" xfId="0"/>
    <xf numFmtId="10" fontId="45" fillId="0" borderId="0" pivotButton="0" quotePrefix="0" xfId="0"/>
    <xf numFmtId="164" fontId="38" fillId="0" borderId="0" pivotButton="0" quotePrefix="0" xfId="2"/>
    <xf numFmtId="166" fontId="45" fillId="0" borderId="6" applyAlignment="1" pivotButton="0" quotePrefix="0" xfId="0">
      <alignment horizontal="center"/>
    </xf>
    <xf numFmtId="0" fontId="48" fillId="0" borderId="0" pivotButton="0" quotePrefix="0" xfId="0"/>
    <xf numFmtId="0" fontId="72" fillId="7" borderId="9" pivotButton="0" quotePrefix="0" xfId="0"/>
    <xf numFmtId="0" fontId="73" fillId="7" borderId="9" pivotButton="0" quotePrefix="0" xfId="0"/>
    <xf numFmtId="0" fontId="73" fillId="7" borderId="1" pivotButton="0" quotePrefix="0" xfId="0"/>
    <xf numFmtId="10" fontId="73" fillId="7" borderId="1" pivotButton="0" quotePrefix="0" xfId="3"/>
    <xf numFmtId="164" fontId="38" fillId="5" borderId="1" pivotButton="0" quotePrefix="0" xfId="0"/>
    <xf numFmtId="166" fontId="38" fillId="5" borderId="2" pivotButton="0" quotePrefix="0" xfId="0"/>
    <xf numFmtId="10" fontId="38" fillId="5" borderId="2" pivotButton="0" quotePrefix="0" xfId="0"/>
    <xf numFmtId="2" fontId="45" fillId="5" borderId="2" applyAlignment="1" pivotButton="0" quotePrefix="0" xfId="0">
      <alignment horizontal="center"/>
    </xf>
    <xf numFmtId="0" fontId="45" fillId="5" borderId="4" applyAlignment="1" pivotButton="0" quotePrefix="0" xfId="0">
      <alignment horizontal="center"/>
    </xf>
    <xf numFmtId="10" fontId="45" fillId="5" borderId="2" applyAlignment="1" pivotButton="0" quotePrefix="0" xfId="3">
      <alignment horizontal="center"/>
    </xf>
    <xf numFmtId="10" fontId="45" fillId="5" borderId="2" applyAlignment="1" pivotButton="0" quotePrefix="0" xfId="0">
      <alignment horizontal="center"/>
    </xf>
    <xf numFmtId="10" fontId="45" fillId="0" borderId="0" applyAlignment="1" pivotButton="0" quotePrefix="0" xfId="0">
      <alignment horizontal="center"/>
    </xf>
    <xf numFmtId="10" fontId="51" fillId="0" borderId="0" applyAlignment="1" pivotButton="0" quotePrefix="0" xfId="0">
      <alignment horizontal="center"/>
    </xf>
    <xf numFmtId="0" fontId="53" fillId="0" borderId="1" applyAlignment="1" pivotButton="0" quotePrefix="0" xfId="0">
      <alignment horizontal="centerContinuous"/>
    </xf>
    <xf numFmtId="0" fontId="53" fillId="0" borderId="1" pivotButton="0" quotePrefix="0" xfId="0"/>
    <xf numFmtId="0" fontId="53" fillId="0" borderId="1" applyAlignment="1" pivotButton="0" quotePrefix="0" xfId="0">
      <alignment horizontal="center"/>
    </xf>
    <xf numFmtId="2" fontId="38" fillId="0" borderId="1" applyAlignment="1" pivotButton="0" quotePrefix="0" xfId="0">
      <alignment horizontal="center"/>
    </xf>
    <xf numFmtId="0" fontId="38" fillId="0" borderId="1" applyAlignment="1" pivotButton="0" quotePrefix="0" xfId="0">
      <alignment horizontal="centerContinuous"/>
    </xf>
    <xf numFmtId="0" fontId="42" fillId="0" borderId="39" pivotButton="0" quotePrefix="0" xfId="0"/>
    <xf numFmtId="0" fontId="52" fillId="0" borderId="0" applyAlignment="1" pivotButton="0" quotePrefix="0" xfId="0">
      <alignment horizontal="centerContinuous"/>
    </xf>
    <xf numFmtId="0" fontId="50" fillId="3" borderId="1" applyAlignment="1" pivotButton="0" quotePrefix="0" xfId="0">
      <alignment horizontal="center"/>
    </xf>
    <xf numFmtId="164" fontId="50" fillId="3" borderId="1" pivotButton="0" quotePrefix="0" xfId="2"/>
    <xf numFmtId="2" fontId="54" fillId="0" borderId="1" applyAlignment="1" pivotButton="0" quotePrefix="0" xfId="0">
      <alignment horizontal="center"/>
    </xf>
    <xf numFmtId="2" fontId="54" fillId="0" borderId="0" pivotButton="0" quotePrefix="0" xfId="0"/>
    <xf numFmtId="2" fontId="50" fillId="0" borderId="0" pivotButton="0" quotePrefix="0" xfId="0"/>
    <xf numFmtId="1" fontId="54" fillId="0" borderId="1" applyAlignment="1" pivotButton="0" quotePrefix="0" xfId="0">
      <alignment horizontal="center"/>
    </xf>
    <xf numFmtId="2" fontId="56" fillId="0" borderId="0" pivotButton="0" quotePrefix="0" xfId="0"/>
    <xf numFmtId="2" fontId="54" fillId="0" borderId="6" applyAlignment="1" pivotButton="0" quotePrefix="0" xfId="0">
      <alignment horizontal="centerContinuous"/>
    </xf>
    <xf numFmtId="2" fontId="54" fillId="0" borderId="13" applyAlignment="1" pivotButton="0" quotePrefix="0" xfId="0">
      <alignment horizontal="centerContinuous"/>
    </xf>
    <xf numFmtId="164" fontId="54" fillId="0" borderId="1" pivotButton="0" quotePrefix="0" xfId="2"/>
    <xf numFmtId="2" fontId="54" fillId="0" borderId="3" applyAlignment="1" pivotButton="0" quotePrefix="0" xfId="0">
      <alignment horizontal="center"/>
    </xf>
    <xf numFmtId="164" fontId="54" fillId="0" borderId="3" pivotButton="0" quotePrefix="0" xfId="2"/>
    <xf numFmtId="164" fontId="50" fillId="0" borderId="2" pivotButton="0" quotePrefix="0" xfId="2"/>
    <xf numFmtId="164" fontId="54" fillId="0" borderId="0" pivotButton="0" quotePrefix="0" xfId="2"/>
    <xf numFmtId="164" fontId="50" fillId="0" borderId="0" pivotButton="0" quotePrefix="0" xfId="2"/>
    <xf numFmtId="166" fontId="50" fillId="0" borderId="40" pivotButton="0" quotePrefix="0" xfId="0"/>
    <xf numFmtId="176" fontId="50" fillId="0" borderId="1" pivotButton="0" quotePrefix="0" xfId="2"/>
    <xf numFmtId="0" fontId="39" fillId="0" borderId="1" applyAlignment="1" pivotButton="0" quotePrefix="0" xfId="0">
      <alignment vertical="center"/>
    </xf>
    <xf numFmtId="10" fontId="39" fillId="5" borderId="1" applyAlignment="1" pivotButton="0" quotePrefix="0" xfId="0">
      <alignment horizontal="center" vertical="center"/>
    </xf>
    <xf numFmtId="0" fontId="61" fillId="0" borderId="1" applyAlignment="1" pivotButton="0" quotePrefix="0" xfId="0">
      <alignment horizontal="center" wrapText="1"/>
    </xf>
    <xf numFmtId="0" fontId="61" fillId="0" borderId="13" applyAlignment="1" pivotButton="0" quotePrefix="0" xfId="0">
      <alignment horizontal="center" wrapText="1"/>
    </xf>
    <xf numFmtId="0" fontId="61" fillId="0" borderId="0" applyAlignment="1" pivotButton="0" quotePrefix="0" xfId="0">
      <alignment vertical="center"/>
    </xf>
    <xf numFmtId="0" fontId="41" fillId="0" borderId="1" applyAlignment="1" pivotButton="0" quotePrefix="0" xfId="0">
      <alignment horizontal="center"/>
    </xf>
    <xf numFmtId="10" fontId="39" fillId="5" borderId="9" applyAlignment="1" pivotButton="0" quotePrefix="0" xfId="3">
      <alignment horizontal="center"/>
    </xf>
    <xf numFmtId="10" fontId="39" fillId="5" borderId="1" applyAlignment="1" pivotButton="0" quotePrefix="0" xfId="3">
      <alignment horizontal="center"/>
    </xf>
    <xf numFmtId="2" fontId="39" fillId="5" borderId="1" applyAlignment="1" pivotButton="0" quotePrefix="0" xfId="0">
      <alignment horizontal="center"/>
    </xf>
    <xf numFmtId="164" fontId="74" fillId="9" borderId="1" applyAlignment="1" pivotButton="0" quotePrefix="0" xfId="2">
      <alignment horizontal="center"/>
    </xf>
    <xf numFmtId="164" fontId="75" fillId="9" borderId="1" pivotButton="0" quotePrefix="0" xfId="0"/>
    <xf numFmtId="9" fontId="39" fillId="0" borderId="0" applyAlignment="1" pivotButton="0" quotePrefix="0" xfId="0">
      <alignment horizontal="center"/>
    </xf>
    <xf numFmtId="1" fontId="39" fillId="4" borderId="1" applyAlignment="1" pivotButton="0" quotePrefix="0" xfId="0">
      <alignment horizontal="center"/>
    </xf>
    <xf numFmtId="164" fontId="19" fillId="0" borderId="0" applyAlignment="1" pivotButton="0" quotePrefix="0" xfId="0">
      <alignment horizontal="center"/>
    </xf>
    <xf numFmtId="164" fontId="19" fillId="0" borderId="0" applyAlignment="1" pivotButton="0" quotePrefix="0" xfId="0">
      <alignment horizontal="left"/>
    </xf>
    <xf numFmtId="0" fontId="50" fillId="0" borderId="1" pivotButton="0" quotePrefix="0" xfId="0"/>
    <xf numFmtId="0" fontId="50" fillId="7" borderId="1" pivotButton="0" quotePrefix="0" xfId="0"/>
    <xf numFmtId="10" fontId="50" fillId="0" borderId="1" pivotButton="0" quotePrefix="0" xfId="0"/>
    <xf numFmtId="0" fontId="50" fillId="0" borderId="1" applyAlignment="1" pivotButton="0" quotePrefix="0" xfId="0">
      <alignment horizontal="center"/>
    </xf>
    <xf numFmtId="0" fontId="50" fillId="7" borderId="1" applyAlignment="1" pivotButton="0" quotePrefix="0" xfId="0">
      <alignment horizontal="center"/>
    </xf>
    <xf numFmtId="10" fontId="50" fillId="7" borderId="1" pivotButton="0" quotePrefix="0" xfId="0"/>
    <xf numFmtId="167" fontId="50" fillId="0" borderId="1" pivotButton="0" quotePrefix="0" xfId="0"/>
    <xf numFmtId="167" fontId="50" fillId="7" borderId="1" pivotButton="0" quotePrefix="0" xfId="0"/>
    <xf numFmtId="168" fontId="50" fillId="0" borderId="1" pivotButton="0" quotePrefix="0" xfId="0"/>
    <xf numFmtId="164" fontId="50" fillId="7" borderId="1" pivotButton="0" quotePrefix="0" xfId="0"/>
    <xf numFmtId="177" fontId="50" fillId="0" borderId="1" pivotButton="0" quotePrefix="0" xfId="0"/>
    <xf numFmtId="167" fontId="50" fillId="7" borderId="41" pivotButton="0" quotePrefix="0" xfId="0"/>
    <xf numFmtId="167" fontId="50" fillId="7" borderId="34" pivotButton="0" quotePrefix="0" xfId="0"/>
    <xf numFmtId="10" fontId="50" fillId="7" borderId="34" pivotButton="0" quotePrefix="0" xfId="0"/>
    <xf numFmtId="177" fontId="50" fillId="7" borderId="34" pivotButton="0" quotePrefix="0" xfId="0"/>
    <xf numFmtId="43" fontId="50" fillId="7" borderId="34" pivotButton="0" quotePrefix="0" xfId="0"/>
    <xf numFmtId="0" fontId="50" fillId="0" borderId="9" pivotButton="0" quotePrefix="0" xfId="0"/>
    <xf numFmtId="2" fontId="50" fillId="7" borderId="1" pivotButton="0" quotePrefix="0" xfId="0"/>
    <xf numFmtId="166" fontId="50" fillId="7" borderId="42" pivotButton="0" quotePrefix="0" xfId="0"/>
    <xf numFmtId="166" fontId="50" fillId="7" borderId="1" pivotButton="0" quotePrefix="0" xfId="0"/>
    <xf numFmtId="10" fontId="50" fillId="7" borderId="1" pivotButton="0" quotePrefix="0" xfId="3"/>
    <xf numFmtId="166" fontId="50" fillId="0" borderId="26" pivotButton="0" quotePrefix="0" xfId="0"/>
    <xf numFmtId="0" fontId="18" fillId="7" borderId="1" applyAlignment="1" pivotButton="0" quotePrefix="0" xfId="0">
      <alignment horizontal="center"/>
    </xf>
    <xf numFmtId="0" fontId="0" fillId="0" borderId="0" applyAlignment="1" pivotButton="0" quotePrefix="0" xfId="0">
      <alignment vertical="center"/>
    </xf>
    <xf numFmtId="10" fontId="0" fillId="0" borderId="0" pivotButton="0" quotePrefix="0" xfId="3"/>
    <xf numFmtId="178" fontId="0" fillId="0" borderId="0" pivotButton="0" quotePrefix="0" xfId="0"/>
    <xf numFmtId="0" fontId="0" fillId="0" borderId="51" pivotButton="0" quotePrefix="0" xfId="0"/>
    <xf numFmtId="9" fontId="0" fillId="0" borderId="51" pivotButton="0" quotePrefix="0" xfId="0"/>
    <xf numFmtId="10" fontId="59" fillId="7" borderId="13" applyAlignment="1" pivotButton="0" quotePrefix="0" xfId="0">
      <alignment horizontal="left"/>
    </xf>
    <xf numFmtId="0" fontId="38" fillId="12" borderId="2" applyAlignment="1" pivotButton="0" quotePrefix="0" xfId="0">
      <alignment horizontal="center"/>
    </xf>
    <xf numFmtId="164" fontId="39" fillId="8" borderId="1" applyAlignment="1" pivotButton="0" quotePrefix="0" xfId="0">
      <alignment horizontal="center"/>
    </xf>
    <xf numFmtId="0" fontId="0" fillId="0" borderId="0" applyAlignment="1" pivotButton="0" quotePrefix="0" xfId="0">
      <alignment horizontal="center" wrapText="1"/>
    </xf>
    <xf numFmtId="9" fontId="0" fillId="0" borderId="0" applyAlignment="1" pivotButton="0" quotePrefix="0" xfId="0">
      <alignment horizontal="center" wrapText="1"/>
    </xf>
    <xf numFmtId="0" fontId="83" fillId="9" borderId="26" pivotButton="0" quotePrefix="0" xfId="0"/>
    <xf numFmtId="0" fontId="83" fillId="9" borderId="27" pivotButton="0" quotePrefix="0" xfId="0"/>
    <xf numFmtId="0" fontId="83" fillId="9" borderId="20" pivotButton="0" quotePrefix="0" xfId="0"/>
    <xf numFmtId="0" fontId="83" fillId="9" borderId="28" pivotButton="0" quotePrefix="0" xfId="0"/>
    <xf numFmtId="0" fontId="83" fillId="9" borderId="0" pivotButton="0" quotePrefix="0" xfId="0"/>
    <xf numFmtId="0" fontId="83" fillId="9" borderId="29" pivotButton="0" quotePrefix="0" xfId="0"/>
    <xf numFmtId="2" fontId="39" fillId="0" borderId="1" applyAlignment="1" pivotButton="0" quotePrefix="0" xfId="0">
      <alignment horizontal="center"/>
    </xf>
    <xf numFmtId="164" fontId="39" fillId="4" borderId="6" applyAlignment="1" pivotButton="0" quotePrefix="0" xfId="2">
      <alignment horizontal="center"/>
    </xf>
    <xf numFmtId="0" fontId="41" fillId="0" borderId="3" pivotButton="0" quotePrefix="0" xfId="0"/>
    <xf numFmtId="164" fontId="68" fillId="10" borderId="13" applyAlignment="1" pivotButton="0" quotePrefix="0" xfId="0">
      <alignment horizontal="left"/>
    </xf>
    <xf numFmtId="0" fontId="67" fillId="4" borderId="3" applyAlignment="1" pivotButton="0" quotePrefix="0" xfId="0">
      <alignment horizontal="center"/>
    </xf>
    <xf numFmtId="0" fontId="86" fillId="0" borderId="38" pivotButton="0" quotePrefix="0" xfId="0"/>
    <xf numFmtId="0" fontId="86" fillId="0" borderId="25" applyAlignment="1" pivotButton="0" quotePrefix="0" xfId="0">
      <alignment horizontal="center"/>
    </xf>
    <xf numFmtId="0" fontId="85" fillId="0" borderId="38" pivotButton="0" quotePrefix="0" xfId="0"/>
    <xf numFmtId="0" fontId="85" fillId="0" borderId="25" applyAlignment="1" pivotButton="0" quotePrefix="0" xfId="0">
      <alignment horizontal="left"/>
    </xf>
    <xf numFmtId="0" fontId="86" fillId="0" borderId="29" pivotButton="0" quotePrefix="0" xfId="0"/>
    <xf numFmtId="0" fontId="86" fillId="0" borderId="0" applyAlignment="1" pivotButton="0" quotePrefix="0" xfId="0">
      <alignment horizontal="center"/>
    </xf>
    <xf numFmtId="1" fontId="54" fillId="0" borderId="51" applyAlignment="1" pivotButton="0" quotePrefix="0" xfId="0">
      <alignment horizontal="center"/>
    </xf>
    <xf numFmtId="2" fontId="54" fillId="3" borderId="51" applyAlignment="1" pivotButton="0" quotePrefix="0" xfId="0">
      <alignment horizontal="center"/>
    </xf>
    <xf numFmtId="0" fontId="41" fillId="0" borderId="55" pivotButton="0" quotePrefix="0" xfId="0"/>
    <xf numFmtId="0" fontId="39" fillId="0" borderId="56" pivotButton="0" quotePrefix="0" xfId="0"/>
    <xf numFmtId="0" fontId="40" fillId="0" borderId="55" pivotButton="0" quotePrefix="0" xfId="0"/>
    <xf numFmtId="0" fontId="41" fillId="0" borderId="63" applyAlignment="1" pivotButton="0" quotePrefix="0" xfId="0">
      <alignment horizontal="center"/>
    </xf>
    <xf numFmtId="0" fontId="39" fillId="0" borderId="55" pivotButton="0" quotePrefix="0" xfId="0"/>
    <xf numFmtId="10" fontId="39" fillId="5" borderId="64" applyAlignment="1" pivotButton="0" quotePrefix="0" xfId="3">
      <alignment horizontal="center"/>
    </xf>
    <xf numFmtId="10" fontId="39" fillId="5" borderId="63" applyAlignment="1" pivotButton="0" quotePrefix="0" xfId="3">
      <alignment horizontal="center"/>
    </xf>
    <xf numFmtId="2" fontId="39" fillId="5" borderId="63" applyAlignment="1" pivotButton="0" quotePrefix="0" xfId="0">
      <alignment horizontal="center"/>
    </xf>
    <xf numFmtId="2" fontId="39" fillId="0" borderId="56" applyAlignment="1" pivotButton="0" quotePrefix="0" xfId="0">
      <alignment horizontal="center"/>
    </xf>
    <xf numFmtId="0" fontId="0" fillId="0" borderId="56" pivotButton="0" quotePrefix="0" xfId="0"/>
    <xf numFmtId="0" fontId="39" fillId="0" borderId="57" pivotButton="0" quotePrefix="0" xfId="0"/>
    <xf numFmtId="0" fontId="39" fillId="0" borderId="58" pivotButton="0" quotePrefix="0" xfId="0"/>
    <xf numFmtId="10" fontId="39" fillId="5" borderId="65" applyAlignment="1" pivotButton="0" quotePrefix="0" xfId="3">
      <alignment horizontal="center"/>
    </xf>
    <xf numFmtId="10" fontId="39" fillId="5" borderId="66" applyAlignment="1" pivotButton="0" quotePrefix="0" xfId="3">
      <alignment horizontal="center"/>
    </xf>
    <xf numFmtId="10" fontId="39" fillId="5" borderId="67" applyAlignment="1" pivotButton="0" quotePrefix="0" xfId="3">
      <alignment horizontal="center"/>
    </xf>
    <xf numFmtId="0" fontId="41" fillId="0" borderId="13" applyAlignment="1" pivotButton="0" quotePrefix="0" xfId="0">
      <alignment horizontal="center"/>
    </xf>
    <xf numFmtId="10" fontId="39" fillId="5" borderId="13" applyAlignment="1" pivotButton="0" quotePrefix="0" xfId="0">
      <alignment horizontal="center"/>
    </xf>
    <xf numFmtId="10" fontId="39" fillId="5" borderId="13" applyAlignment="1" pivotButton="0" quotePrefix="0" xfId="3">
      <alignment horizontal="center"/>
    </xf>
    <xf numFmtId="2" fontId="39" fillId="5" borderId="13" applyAlignment="1" pivotButton="0" quotePrefix="0" xfId="0">
      <alignment horizontal="center"/>
    </xf>
    <xf numFmtId="2" fontId="39" fillId="0" borderId="13" applyAlignment="1" pivotButton="0" quotePrefix="0" xfId="0">
      <alignment horizontal="center"/>
    </xf>
    <xf numFmtId="0" fontId="83" fillId="9" borderId="68" applyAlignment="1" pivotButton="0" quotePrefix="0" xfId="0">
      <alignment horizontal="center"/>
    </xf>
    <xf numFmtId="10" fontId="83" fillId="9" borderId="68" applyAlignment="1" pivotButton="0" quotePrefix="0" xfId="0">
      <alignment horizontal="center"/>
    </xf>
    <xf numFmtId="2" fontId="83" fillId="9" borderId="68" applyAlignment="1" pivotButton="0" quotePrefix="0" xfId="0">
      <alignment horizontal="center"/>
    </xf>
    <xf numFmtId="10" fontId="83" fillId="9" borderId="68" applyAlignment="1" pivotButton="0" quotePrefix="0" xfId="3">
      <alignment horizontal="center"/>
    </xf>
    <xf numFmtId="10" fontId="83" fillId="9" borderId="68" pivotButton="0" quotePrefix="0" xfId="3"/>
    <xf numFmtId="166" fontId="82" fillId="9" borderId="68" pivotButton="0" quotePrefix="0" xfId="2"/>
    <xf numFmtId="43" fontId="82" fillId="9" borderId="68" pivotButton="0" quotePrefix="0" xfId="0"/>
    <xf numFmtId="10" fontId="50" fillId="0" borderId="0" pivotButton="0" quotePrefix="0" xfId="0"/>
    <xf numFmtId="0" fontId="50" fillId="0" borderId="55" pivotButton="0" quotePrefix="0" xfId="0"/>
    <xf numFmtId="0" fontId="50" fillId="0" borderId="56" pivotButton="0" quotePrefix="0" xfId="0"/>
    <xf numFmtId="0" fontId="50" fillId="0" borderId="75" pivotButton="0" quotePrefix="0" xfId="0"/>
    <xf numFmtId="10" fontId="50" fillId="0" borderId="63" pivotButton="0" quotePrefix="0" xfId="0"/>
    <xf numFmtId="10" fontId="50" fillId="0" borderId="56" pivotButton="0" quotePrefix="0" xfId="0"/>
    <xf numFmtId="164" fontId="50" fillId="7" borderId="76" pivotButton="0" quotePrefix="0" xfId="0"/>
    <xf numFmtId="0" fontId="50" fillId="0" borderId="56" applyAlignment="1" pivotButton="0" quotePrefix="0" xfId="0">
      <alignment horizontal="center"/>
    </xf>
    <xf numFmtId="0" fontId="50" fillId="7" borderId="75" pivotButton="0" quotePrefix="0" xfId="0"/>
    <xf numFmtId="10" fontId="50" fillId="7" borderId="75" pivotButton="0" quotePrefix="0" xfId="0"/>
    <xf numFmtId="43" fontId="50" fillId="7" borderId="75" pivotButton="0" quotePrefix="0" xfId="0"/>
    <xf numFmtId="0" fontId="50" fillId="7" borderId="77" pivotButton="0" quotePrefix="0" xfId="0"/>
    <xf numFmtId="0" fontId="50" fillId="0" borderId="77" pivotButton="0" quotePrefix="0" xfId="0"/>
    <xf numFmtId="0" fontId="50" fillId="0" borderId="57" pivotButton="0" quotePrefix="0" xfId="0"/>
    <xf numFmtId="0" fontId="50" fillId="0" borderId="58" pivotButton="0" quotePrefix="0" xfId="0"/>
    <xf numFmtId="0" fontId="50" fillId="0" borderId="59" pivotButton="0" quotePrefix="0" xfId="0"/>
    <xf numFmtId="0" fontId="87" fillId="9" borderId="68" pivotButton="0" quotePrefix="0" xfId="0"/>
    <xf numFmtId="164" fontId="87" fillId="9" borderId="68" applyAlignment="1" pivotButton="0" quotePrefix="0" xfId="0">
      <alignment horizontal="center"/>
    </xf>
    <xf numFmtId="10" fontId="87" fillId="9" borderId="68" applyAlignment="1" pivotButton="0" quotePrefix="0" xfId="0">
      <alignment horizontal="center"/>
    </xf>
    <xf numFmtId="2" fontId="87" fillId="9" borderId="68" applyAlignment="1" pivotButton="0" quotePrefix="0" xfId="0">
      <alignment horizontal="center"/>
    </xf>
    <xf numFmtId="166" fontId="8" fillId="0" borderId="3" applyAlignment="1" pivotButton="0" quotePrefix="0" xfId="0">
      <alignment horizontal="center"/>
    </xf>
    <xf numFmtId="10" fontId="8" fillId="0" borderId="3" applyAlignment="1" pivotButton="0" quotePrefix="0" xfId="3">
      <alignment horizontal="center"/>
    </xf>
    <xf numFmtId="166" fontId="8" fillId="0" borderId="9" applyAlignment="1" pivotButton="0" quotePrefix="0" xfId="0">
      <alignment horizontal="center"/>
    </xf>
    <xf numFmtId="10" fontId="8" fillId="0" borderId="9" applyAlignment="1" pivotButton="0" quotePrefix="0" xfId="0">
      <alignment horizontal="center"/>
    </xf>
    <xf numFmtId="166" fontId="87" fillId="9" borderId="68" applyAlignment="1" pivotButton="0" quotePrefix="0" xfId="0">
      <alignment horizontal="center"/>
    </xf>
    <xf numFmtId="10" fontId="87" fillId="9" borderId="68" applyAlignment="1" pivotButton="0" quotePrefix="0" xfId="3">
      <alignment horizontal="center"/>
    </xf>
    <xf numFmtId="0" fontId="49" fillId="6" borderId="48" applyAlignment="1" pivotButton="0" quotePrefix="0" xfId="0">
      <alignment horizontal="center" vertical="center" wrapText="1"/>
    </xf>
    <xf numFmtId="0" fontId="49" fillId="6" borderId="78" applyAlignment="1" pivotButton="0" quotePrefix="0" xfId="0">
      <alignment horizontal="center" vertical="center" wrapText="1"/>
    </xf>
    <xf numFmtId="0" fontId="88" fillId="9" borderId="68" applyAlignment="1" pivotButton="0" quotePrefix="0" xfId="0">
      <alignment horizontal="left" vertical="top" wrapText="1"/>
    </xf>
    <xf numFmtId="9" fontId="88" fillId="9" borderId="68" applyAlignment="1" pivotButton="0" quotePrefix="0" xfId="3">
      <alignment horizontal="left" vertical="top" wrapText="1"/>
    </xf>
    <xf numFmtId="10" fontId="88" fillId="9" borderId="68" applyAlignment="1" pivotButton="0" quotePrefix="0" xfId="3">
      <alignment horizontal="left" vertical="top" wrapText="1"/>
    </xf>
    <xf numFmtId="10" fontId="0" fillId="0" borderId="1" applyAlignment="1" pivotButton="0" quotePrefix="0" xfId="0">
      <alignment horizontal="center"/>
    </xf>
    <xf numFmtId="0" fontId="32" fillId="0" borderId="1" applyAlignment="1" pivotButton="0" quotePrefix="0" xfId="0">
      <alignment horizontal="center"/>
    </xf>
    <xf numFmtId="177" fontId="0" fillId="0" borderId="1" applyAlignment="1" pivotButton="0" quotePrefix="0" xfId="0">
      <alignment horizontal="center"/>
    </xf>
    <xf numFmtId="0" fontId="85" fillId="0" borderId="1" applyAlignment="1" pivotButton="0" quotePrefix="0" xfId="0">
      <alignment wrapText="1"/>
    </xf>
    <xf numFmtId="0" fontId="85" fillId="0" borderId="1" applyAlignment="1" pivotButton="0" quotePrefix="0" xfId="0">
      <alignment horizontal="center" wrapText="1"/>
    </xf>
    <xf numFmtId="10" fontId="85" fillId="0" borderId="1" applyAlignment="1" pivotButton="0" quotePrefix="0" xfId="0">
      <alignment horizontal="center" wrapText="1"/>
    </xf>
    <xf numFmtId="2" fontId="85" fillId="0" borderId="1" applyAlignment="1" pivotButton="0" quotePrefix="0" xfId="0">
      <alignment horizontal="center" wrapText="1"/>
    </xf>
    <xf numFmtId="0" fontId="31" fillId="0" borderId="0" applyAlignment="1" pivotButton="0" quotePrefix="0" xfId="0">
      <alignment horizontal="center"/>
    </xf>
    <xf numFmtId="0" fontId="91" fillId="7" borderId="1" applyAlignment="1" pivotButton="0" quotePrefix="0" xfId="0">
      <alignment horizontal="center"/>
    </xf>
    <xf numFmtId="10" fontId="92" fillId="0" borderId="1" applyAlignment="1" pivotButton="0" quotePrefix="0" xfId="0">
      <alignment horizontal="center"/>
    </xf>
    <xf numFmtId="0" fontId="18" fillId="7" borderId="51" pivotButton="0" quotePrefix="0" xfId="0"/>
    <xf numFmtId="0" fontId="19" fillId="7" borderId="51" pivotButton="0" quotePrefix="0" xfId="0"/>
    <xf numFmtId="0" fontId="93" fillId="0" borderId="51" applyAlignment="1" pivotButton="0" quotePrefix="0" xfId="0">
      <alignment horizontal="left"/>
    </xf>
    <xf numFmtId="0" fontId="0" fillId="0" borderId="51" applyAlignment="1" pivotButton="0" quotePrefix="0" xfId="0">
      <alignment horizontal="left"/>
    </xf>
    <xf numFmtId="0" fontId="19" fillId="7" borderId="51" applyAlignment="1" pivotButton="0" quotePrefix="0" xfId="0">
      <alignment horizontal="center"/>
    </xf>
    <xf numFmtId="0" fontId="0" fillId="0" borderId="51" applyAlignment="1" pivotButton="0" quotePrefix="0" xfId="0">
      <alignment horizontal="center"/>
    </xf>
    <xf numFmtId="0" fontId="2" fillId="0" borderId="1" applyAlignment="1" pivotButton="0" quotePrefix="0" xfId="0">
      <alignment horizontal="center"/>
    </xf>
    <xf numFmtId="10" fontId="94" fillId="0" borderId="1" applyAlignment="1" pivotButton="0" quotePrefix="0" xfId="3">
      <alignment horizontal="center"/>
    </xf>
    <xf numFmtId="10" fontId="27" fillId="0" borderId="0" applyAlignment="1" pivotButton="0" quotePrefix="0" xfId="0">
      <alignment horizontal="center"/>
    </xf>
    <xf numFmtId="2" fontId="27" fillId="0" borderId="0" applyAlignment="1" pivotButton="0" quotePrefix="0" xfId="0">
      <alignment horizontal="center"/>
    </xf>
    <xf numFmtId="10" fontId="29" fillId="0" borderId="0" applyAlignment="1" pivotButton="0" quotePrefix="0" xfId="0">
      <alignment horizontal="center"/>
    </xf>
    <xf numFmtId="169" fontId="0" fillId="0" borderId="0" pivotButton="0" quotePrefix="0" xfId="0"/>
    <xf numFmtId="0" fontId="1" fillId="13" borderId="51" pivotButton="0" quotePrefix="0" xfId="0"/>
    <xf numFmtId="0" fontId="1" fillId="7" borderId="51" pivotButton="0" quotePrefix="0" xfId="0"/>
    <xf numFmtId="0" fontId="18" fillId="7" borderId="51" applyAlignment="1" pivotButton="0" quotePrefix="0" xfId="0">
      <alignment horizontal="center"/>
    </xf>
    <xf numFmtId="10" fontId="0" fillId="0" borderId="51" applyAlignment="1" pivotButton="0" quotePrefix="0" xfId="0">
      <alignment horizontal="center"/>
    </xf>
    <xf numFmtId="10" fontId="0" fillId="0" borderId="51" applyAlignment="1" pivotButton="0" quotePrefix="0" xfId="3">
      <alignment horizontal="center"/>
    </xf>
    <xf numFmtId="0" fontId="2" fillId="0" borderId="1" pivotButton="0" quotePrefix="0" xfId="0"/>
    <xf numFmtId="10" fontId="95" fillId="0" borderId="1" applyAlignment="1" pivotButton="0" quotePrefix="0" xfId="3">
      <alignment horizontal="center"/>
    </xf>
    <xf numFmtId="0" fontId="61" fillId="0" borderId="0" applyAlignment="1" pivotButton="0" quotePrefix="0" xfId="0">
      <alignment horizontal="center"/>
    </xf>
    <xf numFmtId="10" fontId="60" fillId="0" borderId="38" applyAlignment="1" pivotButton="0" quotePrefix="0" xfId="3">
      <alignment horizontal="center"/>
    </xf>
    <xf numFmtId="10" fontId="0" fillId="0" borderId="0" applyAlignment="1" pivotButton="0" quotePrefix="0" xfId="3">
      <alignment horizontal="center"/>
    </xf>
    <xf numFmtId="0" fontId="0" fillId="7" borderId="51" pivotButton="0" quotePrefix="0" xfId="0"/>
    <xf numFmtId="0" fontId="0" fillId="7" borderId="51" applyAlignment="1" pivotButton="0" quotePrefix="0" xfId="0">
      <alignment horizontal="center" wrapText="1"/>
    </xf>
    <xf numFmtId="9" fontId="0" fillId="7" borderId="51" applyAlignment="1" pivotButton="0" quotePrefix="0" xfId="0">
      <alignment horizontal="center" wrapText="1"/>
    </xf>
    <xf numFmtId="10" fontId="0" fillId="7" borderId="51" applyAlignment="1" pivotButton="0" quotePrefix="0" xfId="3">
      <alignment horizontal="center"/>
    </xf>
    <xf numFmtId="0" fontId="2" fillId="0" borderId="0" applyAlignment="1" pivotButton="0" quotePrefix="0" xfId="0">
      <alignment horizontal="center"/>
    </xf>
    <xf numFmtId="0" fontId="42" fillId="0" borderId="0" pivotButton="0" quotePrefix="0" xfId="0"/>
    <xf numFmtId="0" fontId="40" fillId="7" borderId="60" applyAlignment="1" pivotButton="0" quotePrefix="0" xfId="0">
      <alignment horizontal="center"/>
    </xf>
    <xf numFmtId="0" fontId="40" fillId="7" borderId="61" applyAlignment="1" pivotButton="0" quotePrefix="0" xfId="0">
      <alignment horizontal="center"/>
    </xf>
    <xf numFmtId="0" fontId="40" fillId="7" borderId="62" applyAlignment="1" pivotButton="0" quotePrefix="0" xfId="0">
      <alignment horizontal="center"/>
    </xf>
    <xf numFmtId="0" fontId="40" fillId="0" borderId="7" applyAlignment="1" pivotButton="0" quotePrefix="0" xfId="0">
      <alignment horizontal="left"/>
    </xf>
    <xf numFmtId="0" fontId="40" fillId="0" borderId="16" applyAlignment="1" pivotButton="0" quotePrefix="0" xfId="0">
      <alignment horizontal="left"/>
    </xf>
    <xf numFmtId="0" fontId="40" fillId="0" borderId="17" applyAlignment="1" pivotButton="0" quotePrefix="0" xfId="0">
      <alignment horizontal="left"/>
    </xf>
    <xf numFmtId="0" fontId="68" fillId="0" borderId="28" applyAlignment="1" pivotButton="0" quotePrefix="0" xfId="0">
      <alignment horizontal="center" wrapText="1"/>
    </xf>
    <xf numFmtId="0" fontId="68" fillId="0" borderId="18" applyAlignment="1" pivotButton="0" quotePrefix="0" xfId="0">
      <alignment horizontal="center" wrapText="1"/>
    </xf>
    <xf numFmtId="0" fontId="41" fillId="0" borderId="1" applyAlignment="1" pivotButton="0" quotePrefix="0" xfId="0">
      <alignment horizontal="center"/>
    </xf>
    <xf numFmtId="0" fontId="41" fillId="0" borderId="63" applyAlignment="1" pivotButton="0" quotePrefix="0" xfId="0">
      <alignment horizontal="center"/>
    </xf>
    <xf numFmtId="0" fontId="40" fillId="0" borderId="52" applyAlignment="1" pivotButton="0" quotePrefix="0" xfId="0">
      <alignment horizontal="center"/>
    </xf>
    <xf numFmtId="0" fontId="40" fillId="0" borderId="53" applyAlignment="1" pivotButton="0" quotePrefix="0" xfId="0">
      <alignment horizontal="center"/>
    </xf>
    <xf numFmtId="0" fontId="40" fillId="0" borderId="54" applyAlignment="1" pivotButton="0" quotePrefix="0" xfId="0">
      <alignment horizontal="center"/>
    </xf>
    <xf numFmtId="2" fontId="39" fillId="4" borderId="51" applyAlignment="1" pivotButton="0" quotePrefix="0" xfId="0">
      <alignment horizontal="center" vertical="center"/>
    </xf>
    <xf numFmtId="0" fontId="90" fillId="7" borderId="7" applyAlignment="1" pivotButton="0" quotePrefix="0" xfId="4">
      <alignment horizontal="left" vertical="top" wrapText="1"/>
    </xf>
    <xf numFmtId="0" fontId="90" fillId="7" borderId="16" applyAlignment="1" pivotButton="0" quotePrefix="0" xfId="4">
      <alignment horizontal="left" vertical="top" wrapText="1"/>
    </xf>
    <xf numFmtId="0" fontId="90" fillId="7" borderId="17" applyAlignment="1" pivotButton="0" quotePrefix="0" xfId="4">
      <alignment horizontal="left" vertical="top" wrapText="1"/>
    </xf>
    <xf numFmtId="0" fontId="90" fillId="7" borderId="30" applyAlignment="1" pivotButton="0" quotePrefix="0" xfId="4">
      <alignment horizontal="left" vertical="top" wrapText="1"/>
    </xf>
    <xf numFmtId="0" fontId="90" fillId="7" borderId="0" applyAlignment="1" pivotButton="0" quotePrefix="0" xfId="4">
      <alignment horizontal="left" vertical="top" wrapText="1"/>
    </xf>
    <xf numFmtId="0" fontId="90" fillId="7" borderId="18" applyAlignment="1" pivotButton="0" quotePrefix="0" xfId="4">
      <alignment horizontal="left" vertical="top" wrapText="1"/>
    </xf>
    <xf numFmtId="0" fontId="90" fillId="7" borderId="39" applyAlignment="1" pivotButton="0" quotePrefix="0" xfId="4">
      <alignment horizontal="left" vertical="top" wrapText="1"/>
    </xf>
    <xf numFmtId="0" fontId="90" fillId="7" borderId="31" applyAlignment="1" pivotButton="0" quotePrefix="0" xfId="4">
      <alignment horizontal="left" vertical="top" wrapText="1"/>
    </xf>
    <xf numFmtId="0" fontId="90" fillId="7" borderId="32" applyAlignment="1" pivotButton="0" quotePrefix="0" xfId="4">
      <alignment horizontal="left" vertical="top" wrapText="1"/>
    </xf>
    <xf numFmtId="0" fontId="74" fillId="9" borderId="0" applyAlignment="1" pivotButton="0" quotePrefix="0" xfId="0">
      <alignment horizontal="left" vertical="top" wrapText="1"/>
    </xf>
    <xf numFmtId="0" fontId="59" fillId="0" borderId="35" applyAlignment="1" pivotButton="0" quotePrefix="0" xfId="0">
      <alignment horizontal="left"/>
    </xf>
    <xf numFmtId="0" fontId="59" fillId="0" borderId="5" applyAlignment="1" pivotButton="0" quotePrefix="0" xfId="0">
      <alignment horizontal="left"/>
    </xf>
    <xf numFmtId="0" fontId="59" fillId="0" borderId="44" applyAlignment="1" pivotButton="0" quotePrefix="0" xfId="0">
      <alignment horizontal="right"/>
    </xf>
    <xf numFmtId="0" fontId="59" fillId="0" borderId="12" applyAlignment="1" pivotButton="0" quotePrefix="0" xfId="0">
      <alignment horizontal="left"/>
    </xf>
    <xf numFmtId="0" fontId="59" fillId="0" borderId="1" applyAlignment="1" pivotButton="0" quotePrefix="0" xfId="0">
      <alignment horizontal="left"/>
    </xf>
    <xf numFmtId="0" fontId="59" fillId="0" borderId="6" applyAlignment="1" pivotButton="0" quotePrefix="0" xfId="0">
      <alignment horizontal="left"/>
    </xf>
    <xf numFmtId="0" fontId="62" fillId="0" borderId="6" applyAlignment="1" pivotButton="0" quotePrefix="0" xfId="0">
      <alignment horizontal="center"/>
    </xf>
    <xf numFmtId="0" fontId="62" fillId="0" borderId="5" applyAlignment="1" pivotButton="0" quotePrefix="0" xfId="0">
      <alignment horizontal="center"/>
    </xf>
    <xf numFmtId="0" fontId="62" fillId="0" borderId="13" applyAlignment="1" pivotButton="0" quotePrefix="0" xfId="0">
      <alignment horizontal="center"/>
    </xf>
    <xf numFmtId="0" fontId="59" fillId="0" borderId="45" applyAlignment="1" pivotButton="0" quotePrefix="0" xfId="0">
      <alignment horizontal="left"/>
    </xf>
    <xf numFmtId="0" fontId="59" fillId="0" borderId="46" applyAlignment="1" pivotButton="0" quotePrefix="0" xfId="0">
      <alignment horizontal="left"/>
    </xf>
    <xf numFmtId="0" fontId="65" fillId="7" borderId="26" applyAlignment="1" pivotButton="0" quotePrefix="0" xfId="0">
      <alignment horizontal="left" vertical="top" wrapText="1"/>
    </xf>
    <xf numFmtId="0" fontId="65" fillId="7" borderId="27" applyAlignment="1" pivotButton="0" quotePrefix="0" xfId="0">
      <alignment horizontal="left" vertical="top" wrapText="1"/>
    </xf>
    <xf numFmtId="0" fontId="65" fillId="7" borderId="20" applyAlignment="1" pivotButton="0" quotePrefix="0" xfId="0">
      <alignment horizontal="left" vertical="top" wrapText="1"/>
    </xf>
    <xf numFmtId="0" fontId="65" fillId="7" borderId="28" applyAlignment="1" pivotButton="0" quotePrefix="0" xfId="0">
      <alignment horizontal="left" vertical="top" wrapText="1"/>
    </xf>
    <xf numFmtId="0" fontId="65" fillId="7" borderId="0" applyAlignment="1" pivotButton="0" quotePrefix="0" xfId="0">
      <alignment horizontal="left" vertical="top" wrapText="1"/>
    </xf>
    <xf numFmtId="0" fontId="65" fillId="7" borderId="29" applyAlignment="1" pivotButton="0" quotePrefix="0" xfId="0">
      <alignment horizontal="left" vertical="top" wrapText="1"/>
    </xf>
    <xf numFmtId="0" fontId="65" fillId="7" borderId="47" applyAlignment="1" pivotButton="0" quotePrefix="0" xfId="0">
      <alignment horizontal="left" vertical="top" wrapText="1"/>
    </xf>
    <xf numFmtId="0" fontId="65" fillId="7" borderId="25" applyAlignment="1" pivotButton="0" quotePrefix="0" xfId="0">
      <alignment horizontal="left" vertical="top" wrapText="1"/>
    </xf>
    <xf numFmtId="0" fontId="65" fillId="7" borderId="38" applyAlignment="1" pivotButton="0" quotePrefix="0" xfId="0">
      <alignment horizontal="left" vertical="top" wrapText="1"/>
    </xf>
    <xf numFmtId="0" fontId="76" fillId="0" borderId="26" applyAlignment="1" pivotButton="0" quotePrefix="0" xfId="0">
      <alignment horizontal="left" wrapText="1"/>
    </xf>
    <xf numFmtId="0" fontId="77" fillId="0" borderId="27" applyAlignment="1" pivotButton="0" quotePrefix="0" xfId="0">
      <alignment horizontal="left" wrapText="1"/>
    </xf>
    <xf numFmtId="0" fontId="77" fillId="0" borderId="20" applyAlignment="1" pivotButton="0" quotePrefix="0" xfId="0">
      <alignment horizontal="left" wrapText="1"/>
    </xf>
    <xf numFmtId="0" fontId="77" fillId="0" borderId="28" applyAlignment="1" pivotButton="0" quotePrefix="0" xfId="0">
      <alignment horizontal="left" wrapText="1"/>
    </xf>
    <xf numFmtId="0" fontId="77" fillId="0" borderId="0" applyAlignment="1" pivotButton="0" quotePrefix="0" xfId="0">
      <alignment horizontal="left" wrapText="1"/>
    </xf>
    <xf numFmtId="0" fontId="77" fillId="0" borderId="29" applyAlignment="1" pivotButton="0" quotePrefix="0" xfId="0">
      <alignment horizontal="left" wrapText="1"/>
    </xf>
    <xf numFmtId="0" fontId="77" fillId="0" borderId="47" applyAlignment="1" pivotButton="0" quotePrefix="0" xfId="0">
      <alignment horizontal="left" wrapText="1"/>
    </xf>
    <xf numFmtId="0" fontId="77" fillId="0" borderId="25" applyAlignment="1" pivotButton="0" quotePrefix="0" xfId="0">
      <alignment horizontal="left" wrapText="1"/>
    </xf>
    <xf numFmtId="0" fontId="77" fillId="0" borderId="38" applyAlignment="1" pivotButton="0" quotePrefix="0" xfId="0">
      <alignment horizontal="left" wrapText="1"/>
    </xf>
    <xf numFmtId="0" fontId="66" fillId="0" borderId="26" applyAlignment="1" pivotButton="0" quotePrefix="0" xfId="0">
      <alignment horizontal="left" vertical="center" wrapText="1"/>
    </xf>
    <xf numFmtId="0" fontId="66" fillId="0" borderId="27" applyAlignment="1" pivotButton="0" quotePrefix="0" xfId="0">
      <alignment horizontal="left" vertical="center" wrapText="1"/>
    </xf>
    <xf numFmtId="0" fontId="66" fillId="0" borderId="20" applyAlignment="1" pivotButton="0" quotePrefix="0" xfId="0">
      <alignment horizontal="left" vertical="center" wrapText="1"/>
    </xf>
    <xf numFmtId="0" fontId="66" fillId="0" borderId="28" applyAlignment="1" pivotButton="0" quotePrefix="0" xfId="0">
      <alignment horizontal="left" vertical="center" wrapText="1"/>
    </xf>
    <xf numFmtId="0" fontId="66" fillId="0" borderId="0" applyAlignment="1" pivotButton="0" quotePrefix="0" xfId="0">
      <alignment horizontal="left" vertical="center" wrapText="1"/>
    </xf>
    <xf numFmtId="0" fontId="66" fillId="0" borderId="29" applyAlignment="1" pivotButton="0" quotePrefix="0" xfId="0">
      <alignment horizontal="left" vertical="center" wrapText="1"/>
    </xf>
    <xf numFmtId="0" fontId="66" fillId="0" borderId="47" applyAlignment="1" pivotButton="0" quotePrefix="0" xfId="0">
      <alignment horizontal="left" vertical="center" wrapText="1"/>
    </xf>
    <xf numFmtId="0" fontId="66" fillId="0" borderId="25" applyAlignment="1" pivotButton="0" quotePrefix="0" xfId="0">
      <alignment horizontal="left" vertical="center" wrapText="1"/>
    </xf>
    <xf numFmtId="0" fontId="66" fillId="0" borderId="38" applyAlignment="1" pivotButton="0" quotePrefix="0" xfId="0">
      <alignment horizontal="left" vertical="center" wrapText="1"/>
    </xf>
    <xf numFmtId="0" fontId="78" fillId="0" borderId="26" applyAlignment="1" pivotButton="0" quotePrefix="0" xfId="0">
      <alignment horizontal="left" vertical="center" wrapText="1"/>
    </xf>
    <xf numFmtId="0" fontId="59" fillId="0" borderId="27" applyAlignment="1" pivotButton="0" quotePrefix="0" xfId="0">
      <alignment horizontal="left" vertical="center" wrapText="1"/>
    </xf>
    <xf numFmtId="0" fontId="59" fillId="0" borderId="20" applyAlignment="1" pivotButton="0" quotePrefix="0" xfId="0">
      <alignment horizontal="left" vertical="center" wrapText="1"/>
    </xf>
    <xf numFmtId="0" fontId="59" fillId="0" borderId="28" applyAlignment="1" pivotButton="0" quotePrefix="0" xfId="0">
      <alignment horizontal="left" vertical="center" wrapText="1"/>
    </xf>
    <xf numFmtId="0" fontId="59" fillId="0" borderId="0" applyAlignment="1" pivotButton="0" quotePrefix="0" xfId="0">
      <alignment horizontal="left" vertical="center" wrapText="1"/>
    </xf>
    <xf numFmtId="0" fontId="59" fillId="0" borderId="29" applyAlignment="1" pivotButton="0" quotePrefix="0" xfId="0">
      <alignment horizontal="left" vertical="center" wrapText="1"/>
    </xf>
    <xf numFmtId="0" fontId="59" fillId="0" borderId="47" applyAlignment="1" pivotButton="0" quotePrefix="0" xfId="0">
      <alignment horizontal="left" vertical="center" wrapText="1"/>
    </xf>
    <xf numFmtId="0" fontId="59" fillId="0" borderId="25" applyAlignment="1" pivotButton="0" quotePrefix="0" xfId="0">
      <alignment horizontal="left" vertical="center" wrapText="1"/>
    </xf>
    <xf numFmtId="0" fontId="59" fillId="0" borderId="38" applyAlignment="1" pivotButton="0" quotePrefix="0" xfId="0">
      <alignment horizontal="left" vertical="center" wrapText="1"/>
    </xf>
    <xf numFmtId="0" fontId="66" fillId="0" borderId="30" applyAlignment="1" pivotButton="0" quotePrefix="0" xfId="0">
      <alignment horizontal="left" vertical="center" wrapText="1"/>
    </xf>
    <xf numFmtId="167" fontId="59" fillId="7" borderId="5" applyAlignment="1" pivotButton="0" quotePrefix="0" xfId="2">
      <alignment horizontal="right"/>
    </xf>
    <xf numFmtId="10" fontId="59" fillId="7" borderId="6" applyAlignment="1" pivotButton="0" quotePrefix="0" xfId="3">
      <alignment horizontal="center"/>
    </xf>
    <xf numFmtId="10" fontId="59" fillId="7" borderId="13" applyAlignment="1" pivotButton="0" quotePrefix="0" xfId="3">
      <alignment horizontal="center"/>
    </xf>
    <xf numFmtId="0" fontId="79" fillId="7" borderId="1" applyAlignment="1" pivotButton="0" quotePrefix="0" xfId="0">
      <alignment horizontal="center"/>
    </xf>
    <xf numFmtId="0" fontId="79" fillId="0" borderId="6" applyAlignment="1" pivotButton="0" quotePrefix="0" xfId="0">
      <alignment horizontal="center"/>
    </xf>
    <xf numFmtId="0" fontId="79" fillId="0" borderId="5" applyAlignment="1" pivotButton="0" quotePrefix="0" xfId="0">
      <alignment horizontal="center"/>
    </xf>
    <xf numFmtId="0" fontId="79" fillId="0" borderId="13" applyAlignment="1" pivotButton="0" quotePrefix="0" xfId="0">
      <alignment horizontal="center"/>
    </xf>
    <xf numFmtId="0" fontId="79" fillId="0" borderId="48" applyAlignment="1" pivotButton="0" quotePrefix="0" xfId="0">
      <alignment horizontal="center"/>
    </xf>
    <xf numFmtId="0" fontId="59" fillId="0" borderId="14" applyAlignment="1" pivotButton="0" quotePrefix="0" xfId="0">
      <alignment horizontal="left"/>
    </xf>
    <xf numFmtId="0" fontId="59" fillId="0" borderId="15" applyAlignment="1" pivotButton="0" quotePrefix="0" xfId="0">
      <alignment horizontal="left"/>
    </xf>
    <xf numFmtId="0" fontId="59" fillId="0" borderId="21" applyAlignment="1" pivotButton="0" quotePrefix="0" xfId="0">
      <alignment horizontal="left"/>
    </xf>
    <xf numFmtId="0" fontId="48" fillId="0" borderId="7" applyAlignment="1" pivotButton="0" quotePrefix="0" xfId="0">
      <alignment horizontal="center"/>
    </xf>
    <xf numFmtId="0" fontId="48" fillId="0" borderId="17" applyAlignment="1" pivotButton="0" quotePrefix="0" xfId="0">
      <alignment horizontal="center"/>
    </xf>
    <xf numFmtId="0" fontId="48" fillId="0" borderId="16" applyAlignment="1" pivotButton="0" quotePrefix="0" xfId="0">
      <alignment horizontal="center"/>
    </xf>
    <xf numFmtId="0" fontId="50" fillId="7" borderId="1" applyAlignment="1" pivotButton="0" quotePrefix="0" xfId="0">
      <alignment horizontal="left" vertical="top" wrapText="1"/>
    </xf>
    <xf numFmtId="0" fontId="50" fillId="7" borderId="65" applyAlignment="1" pivotButton="0" quotePrefix="0" xfId="0">
      <alignment horizontal="left" vertical="top" wrapText="1"/>
    </xf>
    <xf numFmtId="0" fontId="48" fillId="0" borderId="74" applyAlignment="1" pivotButton="0" quotePrefix="0" xfId="0">
      <alignment horizontal="center"/>
    </xf>
    <xf numFmtId="0" fontId="48" fillId="0" borderId="49" applyAlignment="1" pivotButton="0" quotePrefix="0" xfId="0">
      <alignment horizontal="center"/>
    </xf>
    <xf numFmtId="0" fontId="48" fillId="0" borderId="50" applyAlignment="1" pivotButton="0" quotePrefix="0" xfId="0">
      <alignment horizontal="center"/>
    </xf>
    <xf numFmtId="17" fontId="48" fillId="0" borderId="72" applyAlignment="1" pivotButton="0" quotePrefix="0" xfId="0">
      <alignment horizontal="center"/>
    </xf>
    <xf numFmtId="0" fontId="48" fillId="0" borderId="73" applyAlignment="1" pivotButton="0" quotePrefix="0" xfId="0">
      <alignment horizontal="center"/>
    </xf>
    <xf numFmtId="0" fontId="50" fillId="7" borderId="26" applyAlignment="1" pivotButton="0" quotePrefix="0" xfId="0">
      <alignment horizontal="left" vertical="top" wrapText="1"/>
    </xf>
    <xf numFmtId="0" fontId="50" fillId="7" borderId="20" applyAlignment="1" pivotButton="0" quotePrefix="0" xfId="0">
      <alignment horizontal="left" vertical="top" wrapText="1"/>
    </xf>
    <xf numFmtId="0" fontId="50" fillId="7" borderId="28" applyAlignment="1" pivotButton="0" quotePrefix="0" xfId="0">
      <alignment horizontal="left" vertical="top" wrapText="1"/>
    </xf>
    <xf numFmtId="0" fontId="50" fillId="7" borderId="29" applyAlignment="1" pivotButton="0" quotePrefix="0" xfId="0">
      <alignment horizontal="left" vertical="top" wrapText="1"/>
    </xf>
    <xf numFmtId="0" fontId="50" fillId="7" borderId="47" applyAlignment="1" pivotButton="0" quotePrefix="0" xfId="0">
      <alignment horizontal="left" vertical="top" wrapText="1"/>
    </xf>
    <xf numFmtId="0" fontId="50" fillId="7" borderId="38" applyAlignment="1" pivotButton="0" quotePrefix="0" xfId="0">
      <alignment horizontal="left" vertical="top" wrapText="1"/>
    </xf>
    <xf numFmtId="0" fontId="45" fillId="0" borderId="69" applyAlignment="1" pivotButton="0" quotePrefix="0" xfId="0">
      <alignment horizontal="center"/>
    </xf>
    <xf numFmtId="0" fontId="45" fillId="0" borderId="70" applyAlignment="1" pivotButton="0" quotePrefix="0" xfId="0">
      <alignment horizontal="center"/>
    </xf>
    <xf numFmtId="0" fontId="45" fillId="0" borderId="71" applyAlignment="1" pivotButton="0" quotePrefix="0" xfId="0">
      <alignment horizontal="center"/>
    </xf>
    <xf numFmtId="0" fontId="55" fillId="0" borderId="1" applyAlignment="1" pivotButton="0" quotePrefix="0" xfId="0">
      <alignment horizontal="center"/>
    </xf>
    <xf numFmtId="0" fontId="55" fillId="0" borderId="63" applyAlignment="1" pivotButton="0" quotePrefix="0" xfId="0">
      <alignment horizontal="center"/>
    </xf>
    <xf numFmtId="10" fontId="80" fillId="0" borderId="43" applyAlignment="1" pivotButton="0" quotePrefix="0" xfId="0">
      <alignment horizontal="center"/>
    </xf>
    <xf numFmtId="10" fontId="80" fillId="0" borderId="22" applyAlignment="1" pivotButton="0" quotePrefix="0" xfId="0">
      <alignment horizontal="center"/>
    </xf>
    <xf numFmtId="0" fontId="46" fillId="0" borderId="16" applyAlignment="1" pivotButton="0" quotePrefix="0" xfId="0">
      <alignment horizontal="center"/>
    </xf>
    <xf numFmtId="0" fontId="46" fillId="0" borderId="17" applyAlignment="1" pivotButton="0" quotePrefix="0" xfId="0">
      <alignment horizontal="center"/>
    </xf>
    <xf numFmtId="0" fontId="52" fillId="7" borderId="30" applyAlignment="1" pivotButton="0" quotePrefix="0" xfId="0">
      <alignment horizontal="left" vertical="top" wrapText="1"/>
    </xf>
    <xf numFmtId="0" fontId="52" fillId="7" borderId="0" applyAlignment="1" pivotButton="0" quotePrefix="0" xfId="0">
      <alignment horizontal="left" vertical="top" wrapText="1"/>
    </xf>
    <xf numFmtId="0" fontId="45" fillId="7" borderId="43" applyAlignment="1" pivotButton="0" quotePrefix="0" xfId="0">
      <alignment horizontal="center"/>
    </xf>
    <xf numFmtId="0" fontId="45" fillId="7" borderId="44" applyAlignment="1" pivotButton="0" quotePrefix="0" xfId="0">
      <alignment horizontal="center"/>
    </xf>
    <xf numFmtId="0" fontId="45" fillId="7" borderId="22" applyAlignment="1" pivotButton="0" quotePrefix="0" xfId="0">
      <alignment horizontal="center"/>
    </xf>
    <xf numFmtId="0" fontId="38" fillId="7" borderId="7" applyAlignment="1" pivotButton="0" quotePrefix="0" xfId="0">
      <alignment horizontal="left" wrapText="1"/>
    </xf>
    <xf numFmtId="0" fontId="38" fillId="7" borderId="16" applyAlignment="1" pivotButton="0" quotePrefix="0" xfId="0">
      <alignment horizontal="left" wrapText="1"/>
    </xf>
    <xf numFmtId="0" fontId="38" fillId="7" borderId="17" applyAlignment="1" pivotButton="0" quotePrefix="0" xfId="0">
      <alignment horizontal="left" wrapText="1"/>
    </xf>
    <xf numFmtId="0" fontId="38" fillId="7" borderId="39" applyAlignment="1" pivotButton="0" quotePrefix="0" xfId="0">
      <alignment horizontal="left" wrapText="1"/>
    </xf>
    <xf numFmtId="0" fontId="38" fillId="7" borderId="31" applyAlignment="1" pivotButton="0" quotePrefix="0" xfId="0">
      <alignment horizontal="left" wrapText="1"/>
    </xf>
    <xf numFmtId="0" fontId="38" fillId="7" borderId="32" applyAlignment="1" pivotButton="0" quotePrefix="0" xfId="0">
      <alignment horizontal="left" wrapText="1"/>
    </xf>
    <xf numFmtId="0" fontId="33" fillId="7" borderId="7" applyAlignment="1" pivotButton="0" quotePrefix="0" xfId="0">
      <alignment horizontal="left" vertical="top" wrapText="1"/>
    </xf>
    <xf numFmtId="0" fontId="33" fillId="7" borderId="16" applyAlignment="1" pivotButton="0" quotePrefix="0" xfId="0">
      <alignment horizontal="left" vertical="top" wrapText="1"/>
    </xf>
    <xf numFmtId="0" fontId="33" fillId="7" borderId="17" applyAlignment="1" pivotButton="0" quotePrefix="0" xfId="0">
      <alignment horizontal="left" vertical="top" wrapText="1"/>
    </xf>
    <xf numFmtId="0" fontId="33" fillId="7" borderId="30" applyAlignment="1" pivotButton="0" quotePrefix="0" xfId="0">
      <alignment horizontal="left" vertical="top" wrapText="1"/>
    </xf>
    <xf numFmtId="0" fontId="33" fillId="7" borderId="0" applyAlignment="1" pivotButton="0" quotePrefix="0" xfId="0">
      <alignment horizontal="left" vertical="top" wrapText="1"/>
    </xf>
    <xf numFmtId="0" fontId="33" fillId="7" borderId="18" applyAlignment="1" pivotButton="0" quotePrefix="0" xfId="0">
      <alignment horizontal="left" vertical="top" wrapText="1"/>
    </xf>
    <xf numFmtId="0" fontId="33" fillId="7" borderId="39" applyAlignment="1" pivotButton="0" quotePrefix="0" xfId="0">
      <alignment horizontal="left" vertical="top" wrapText="1"/>
    </xf>
    <xf numFmtId="0" fontId="33" fillId="7" borderId="31" applyAlignment="1" pivotButton="0" quotePrefix="0" xfId="0">
      <alignment horizontal="left" vertical="top" wrapText="1"/>
    </xf>
    <xf numFmtId="0" fontId="33" fillId="7" borderId="32" applyAlignment="1" pivotButton="0" quotePrefix="0" xfId="0">
      <alignment horizontal="left" vertical="top" wrapText="1"/>
    </xf>
    <xf numFmtId="0" fontId="0" fillId="0" borderId="0" applyAlignment="1" pivotButton="0" quotePrefix="0" xfId="0">
      <alignment horizontal="left" vertical="top" wrapText="1"/>
    </xf>
    <xf numFmtId="0" fontId="34" fillId="7" borderId="7" applyAlignment="1" pivotButton="0" quotePrefix="0" xfId="0">
      <alignment horizontal="left" vertical="top" wrapText="1"/>
    </xf>
    <xf numFmtId="0" fontId="34" fillId="7" borderId="16" applyAlignment="1" pivotButton="0" quotePrefix="0" xfId="0">
      <alignment horizontal="left" vertical="top" wrapText="1"/>
    </xf>
    <xf numFmtId="0" fontId="34" fillId="7" borderId="17" applyAlignment="1" pivotButton="0" quotePrefix="0" xfId="0">
      <alignment horizontal="left" vertical="top" wrapText="1"/>
    </xf>
    <xf numFmtId="0" fontId="34" fillId="7" borderId="30" applyAlignment="1" pivotButton="0" quotePrefix="0" xfId="0">
      <alignment horizontal="left" vertical="top" wrapText="1"/>
    </xf>
    <xf numFmtId="0" fontId="34" fillId="7" borderId="0" applyAlignment="1" pivotButton="0" quotePrefix="0" xfId="0">
      <alignment horizontal="left" vertical="top" wrapText="1"/>
    </xf>
    <xf numFmtId="0" fontId="34" fillId="7" borderId="18" applyAlignment="1" pivotButton="0" quotePrefix="0" xfId="0">
      <alignment horizontal="left" vertical="top" wrapText="1"/>
    </xf>
    <xf numFmtId="0" fontId="34" fillId="7" borderId="39" applyAlignment="1" pivotButton="0" quotePrefix="0" xfId="0">
      <alignment horizontal="left" vertical="top" wrapText="1"/>
    </xf>
    <xf numFmtId="0" fontId="34" fillId="7" borderId="31" applyAlignment="1" pivotButton="0" quotePrefix="0" xfId="0">
      <alignment horizontal="left" vertical="top" wrapText="1"/>
    </xf>
    <xf numFmtId="0" fontId="34" fillId="7"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3" fillId="0" borderId="27" applyAlignment="1" pivotButton="0" quotePrefix="0" xfId="0">
      <alignment horizontal="center"/>
    </xf>
    <xf numFmtId="0" fontId="35" fillId="0" borderId="43" applyAlignment="1" pivotButton="0" quotePrefix="0" xfId="0">
      <alignment horizontal="center"/>
    </xf>
    <xf numFmtId="0" fontId="35" fillId="0" borderId="44" applyAlignment="1" pivotButton="0" quotePrefix="0" xfId="0">
      <alignment horizontal="center"/>
    </xf>
    <xf numFmtId="0" fontId="35" fillId="0" borderId="22" applyAlignment="1" pivotButton="0" quotePrefix="0" xfId="0">
      <alignment horizontal="center"/>
    </xf>
    <xf numFmtId="0" fontId="25" fillId="0" borderId="43" applyAlignment="1" pivotButton="0" quotePrefix="0" xfId="0">
      <alignment horizontal="center"/>
    </xf>
    <xf numFmtId="0" fontId="25" fillId="0" borderId="44" applyAlignment="1" pivotButton="0" quotePrefix="0" xfId="0">
      <alignment horizontal="center"/>
    </xf>
    <xf numFmtId="0" fontId="25" fillId="0" borderId="22" applyAlignment="1" pivotButton="0" quotePrefix="0" xfId="0">
      <alignment horizontal="center"/>
    </xf>
    <xf numFmtId="0" fontId="25" fillId="0" borderId="16" applyAlignment="1" pivotButton="0" quotePrefix="0" xfId="0">
      <alignment horizontal="center"/>
    </xf>
    <xf numFmtId="0" fontId="26" fillId="7" borderId="43" applyAlignment="1" pivotButton="0" quotePrefix="0" xfId="0">
      <alignment horizontal="center"/>
    </xf>
    <xf numFmtId="0" fontId="26" fillId="7" borderId="44" applyAlignment="1" pivotButton="0" quotePrefix="0" xfId="0">
      <alignment horizontal="center"/>
    </xf>
    <xf numFmtId="0" fontId="26" fillId="7" borderId="22" applyAlignment="1" pivotButton="0" quotePrefix="0" xfId="0">
      <alignment horizontal="center"/>
    </xf>
    <xf numFmtId="0" fontId="81" fillId="0" borderId="3" applyAlignment="1" pivotButton="0" quotePrefix="0" xfId="0">
      <alignment horizontal="center" vertical="center" textRotation="90" wrapText="1"/>
    </xf>
    <xf numFmtId="0" fontId="81" fillId="0" borderId="48" applyAlignment="1" pivotButton="0" quotePrefix="0" xfId="0">
      <alignment horizontal="center" vertical="center" textRotation="90" wrapText="1"/>
    </xf>
    <xf numFmtId="0" fontId="81" fillId="0" borderId="9" applyAlignment="1" pivotButton="0" quotePrefix="0" xfId="0">
      <alignment horizontal="center" vertical="center" textRotation="90" wrapText="1"/>
    </xf>
    <xf numFmtId="0" fontId="0" fillId="0" borderId="0" applyAlignment="1" pivotButton="0" quotePrefix="0" xfId="0">
      <alignment horizontal="center"/>
    </xf>
    <xf numFmtId="2" fontId="61" fillId="0" borderId="25" applyAlignment="1" pivotButton="0" quotePrefix="0" xfId="0">
      <alignment horizontal="center"/>
    </xf>
    <xf numFmtId="166" fontId="0" fillId="0" borderId="28" applyAlignment="1" pivotButton="0" quotePrefix="0" xfId="0">
      <alignment horizontal="center" vertical="center" wrapText="1"/>
    </xf>
    <xf numFmtId="0" fontId="37" fillId="7" borderId="52" applyAlignment="1" pivotButton="0" quotePrefix="0" xfId="0">
      <alignment horizontal="left" vertical="top" wrapText="1"/>
    </xf>
    <xf numFmtId="0" fontId="0" fillId="7" borderId="53" applyAlignment="1" pivotButton="0" quotePrefix="0" xfId="0">
      <alignment horizontal="left" vertical="top" wrapText="1"/>
    </xf>
    <xf numFmtId="0" fontId="0" fillId="7" borderId="54" applyAlignment="1" pivotButton="0" quotePrefix="0" xfId="0">
      <alignment horizontal="left" vertical="top" wrapText="1"/>
    </xf>
    <xf numFmtId="0" fontId="0" fillId="7" borderId="55" applyAlignment="1" pivotButton="0" quotePrefix="0" xfId="0">
      <alignment horizontal="left" vertical="top" wrapText="1"/>
    </xf>
    <xf numFmtId="0" fontId="0" fillId="7" borderId="0" applyAlignment="1" pivotButton="0" quotePrefix="0" xfId="0">
      <alignment horizontal="left" vertical="top" wrapText="1"/>
    </xf>
    <xf numFmtId="0" fontId="0" fillId="7" borderId="56" applyAlignment="1" pivotButton="0" quotePrefix="0" xfId="0">
      <alignment horizontal="left" vertical="top" wrapText="1"/>
    </xf>
    <xf numFmtId="0" fontId="0"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10" fontId="61" fillId="0" borderId="25" applyAlignment="1" pivotButton="0" quotePrefix="0" xfId="3">
      <alignment horizontal="center"/>
    </xf>
    <xf numFmtId="10" fontId="61" fillId="0" borderId="13" applyAlignment="1" pivotButton="0" quotePrefix="0" xfId="3">
      <alignment horizontal="center" wrapText="1"/>
    </xf>
    <xf numFmtId="2" fontId="61" fillId="0" borderId="13" applyAlignment="1" pivotButton="0" quotePrefix="0" xfId="0">
      <alignment horizontal="center" wrapText="1"/>
    </xf>
    <xf numFmtId="2" fontId="61" fillId="0" borderId="0" applyAlignment="1" pivotButton="0" quotePrefix="0" xfId="0">
      <alignment horizontal="center"/>
    </xf>
    <xf numFmtId="3" fontId="0" fillId="0" borderId="0" applyAlignment="1" pivotButton="0" quotePrefix="0" xfId="0">
      <alignment horizontal="center"/>
    </xf>
    <xf numFmtId="2" fontId="0" fillId="0" borderId="0" applyAlignment="1" pivotButton="0" quotePrefix="0" xfId="0">
      <alignment horizontal="center"/>
    </xf>
    <xf numFmtId="0" fontId="40" fillId="7" borderId="79" applyAlignment="1" pivotButton="0" quotePrefix="0" xfId="0">
      <alignment horizontal="center"/>
    </xf>
    <xf numFmtId="0" fontId="0" fillId="0" borderId="61" pivotButton="0" quotePrefix="0" xfId="0"/>
    <xf numFmtId="0" fontId="0" fillId="0" borderId="62" pivotButton="0" quotePrefix="0" xfId="0"/>
    <xf numFmtId="0" fontId="90" fillId="7" borderId="2" applyAlignment="1" pivotButton="0" quotePrefix="0" xfId="4">
      <alignment horizontal="left" vertical="top" wrapText="1"/>
    </xf>
    <xf numFmtId="0" fontId="0" fillId="0" borderId="16" pivotButton="0" quotePrefix="0" xfId="0"/>
    <xf numFmtId="0" fontId="0" fillId="0" borderId="17" pivotButton="0" quotePrefix="0" xfId="0"/>
    <xf numFmtId="0" fontId="0" fillId="0" borderId="30" pivotButton="0" quotePrefix="0" xfId="0"/>
    <xf numFmtId="0" fontId="0" fillId="0" borderId="18" pivotButton="0" quotePrefix="0" xfId="0"/>
    <xf numFmtId="164" fontId="39" fillId="4" borderId="1" applyAlignment="1" pivotButton="0" quotePrefix="0" xfId="2">
      <alignment horizontal="center"/>
    </xf>
    <xf numFmtId="164" fontId="39" fillId="4" borderId="6" applyAlignment="1" pivotButton="0" quotePrefix="0" xfId="2">
      <alignment horizontal="center"/>
    </xf>
    <xf numFmtId="0" fontId="0" fillId="0" borderId="39" pivotButton="0" quotePrefix="0" xfId="0"/>
    <xf numFmtId="0" fontId="0" fillId="0" borderId="31" pivotButton="0" quotePrefix="0" xfId="0"/>
    <xf numFmtId="0" fontId="0" fillId="0" borderId="32" pivotButton="0" quotePrefix="0" xfId="0"/>
    <xf numFmtId="0" fontId="0" fillId="0" borderId="82" pivotButton="0" quotePrefix="0" xfId="0"/>
    <xf numFmtId="0" fontId="0" fillId="0" borderId="83" pivotButton="0" quotePrefix="0" xfId="0"/>
    <xf numFmtId="164" fontId="39" fillId="8" borderId="13" applyAlignment="1" pivotButton="0" quotePrefix="0" xfId="0">
      <alignment horizontal="center"/>
    </xf>
    <xf numFmtId="164" fontId="68" fillId="10" borderId="13" applyAlignment="1" pivotButton="0" quotePrefix="0" xfId="0">
      <alignment horizontal="left"/>
    </xf>
    <xf numFmtId="164" fontId="39" fillId="4" borderId="9" applyAlignment="1" pivotButton="0" quotePrefix="0" xfId="2">
      <alignment horizontal="center"/>
    </xf>
    <xf numFmtId="0" fontId="40" fillId="0" borderId="80" applyAlignment="1" pivotButton="0" quotePrefix="0" xfId="0">
      <alignment horizontal="center"/>
    </xf>
    <xf numFmtId="0" fontId="0" fillId="0" borderId="53" pivotButton="0" quotePrefix="0" xfId="0"/>
    <xf numFmtId="0" fontId="0" fillId="0" borderId="54" pivotButton="0" quotePrefix="0" xfId="0"/>
    <xf numFmtId="0" fontId="0" fillId="0" borderId="5" pivotButton="0" quotePrefix="0" xfId="0"/>
    <xf numFmtId="0" fontId="0" fillId="0" borderId="13" pivotButton="0" quotePrefix="0" xfId="0"/>
    <xf numFmtId="164" fontId="39" fillId="0" borderId="0" applyAlignment="1" pivotButton="0" quotePrefix="0" xfId="2">
      <alignment horizontal="center"/>
    </xf>
    <xf numFmtId="0" fontId="40" fillId="0" borderId="40" applyAlignment="1" pivotButton="0" quotePrefix="0" xfId="0">
      <alignment horizontal="left"/>
    </xf>
    <xf numFmtId="167" fontId="39" fillId="5" borderId="1" pivotButton="0" quotePrefix="0" xfId="0"/>
    <xf numFmtId="0" fontId="68" fillId="0" borderId="78" applyAlignment="1" pivotButton="0" quotePrefix="0" xfId="0">
      <alignment horizontal="center" wrapText="1"/>
    </xf>
    <xf numFmtId="166" fontId="39" fillId="4" borderId="1" applyAlignment="1" pivotButton="0" quotePrefix="0" xfId="0">
      <alignment horizontal="center"/>
    </xf>
    <xf numFmtId="166" fontId="39" fillId="0" borderId="0" applyAlignment="1" pivotButton="0" quotePrefix="0" xfId="0">
      <alignment horizontal="center"/>
    </xf>
    <xf numFmtId="164" fontId="39" fillId="8" borderId="1" applyAlignment="1" pivotButton="0" quotePrefix="0" xfId="0">
      <alignment horizontal="center"/>
    </xf>
    <xf numFmtId="166" fontId="39" fillId="7" borderId="0" applyAlignment="1" pivotButton="0" quotePrefix="0" xfId="0">
      <alignment horizontal="center"/>
    </xf>
    <xf numFmtId="166" fontId="37" fillId="4" borderId="1" applyAlignment="1" pivotButton="0" quotePrefix="0" xfId="0">
      <alignment horizontal="center"/>
    </xf>
    <xf numFmtId="164" fontId="19" fillId="5" borderId="1" pivotButton="0" quotePrefix="0" xfId="2"/>
    <xf numFmtId="164" fontId="19" fillId="5" borderId="1" applyAlignment="1" pivotButton="0" quotePrefix="0" xfId="2">
      <alignment horizontal="center"/>
    </xf>
    <xf numFmtId="164" fontId="74" fillId="9" borderId="1" applyAlignment="1" pivotButton="0" quotePrefix="0" xfId="2">
      <alignment horizontal="center"/>
    </xf>
    <xf numFmtId="164" fontId="75" fillId="9" borderId="1" pivotButton="0" quotePrefix="0" xfId="0"/>
    <xf numFmtId="164" fontId="19" fillId="5" borderId="1" applyAlignment="1" pivotButton="0" quotePrefix="0" xfId="0">
      <alignment horizontal="center"/>
    </xf>
    <xf numFmtId="168" fontId="19" fillId="5" borderId="1" applyAlignment="1" pivotButton="0" quotePrefix="0" xfId="0">
      <alignment horizontal="center"/>
    </xf>
    <xf numFmtId="164" fontId="19" fillId="0" borderId="0" applyAlignment="1" pivotButton="0" quotePrefix="0" xfId="0">
      <alignment horizontal="center"/>
    </xf>
    <xf numFmtId="164" fontId="19" fillId="0" borderId="0" applyAlignment="1" pivotButton="0" quotePrefix="0" xfId="0">
      <alignment horizontal="left"/>
    </xf>
    <xf numFmtId="164" fontId="19" fillId="5" borderId="1" pivotButton="0" quotePrefix="0" xfId="0"/>
    <xf numFmtId="166" fontId="19" fillId="5" borderId="1" pivotButton="0" quotePrefix="0" xfId="0"/>
    <xf numFmtId="165" fontId="19" fillId="5" borderId="1" pivotButton="0" quotePrefix="0" xfId="0"/>
    <xf numFmtId="164" fontId="57" fillId="5" borderId="1" pivotButton="0" quotePrefix="0" xfId="2"/>
    <xf numFmtId="167" fontId="19" fillId="5" borderId="1" pivotButton="0" quotePrefix="0" xfId="0"/>
    <xf numFmtId="167" fontId="19" fillId="5" borderId="1" applyAlignment="1" pivotButton="0" quotePrefix="0" xfId="0">
      <alignment horizontal="center"/>
    </xf>
    <xf numFmtId="0" fontId="62" fillId="0" borderId="1" applyAlignment="1" pivotButton="0" quotePrefix="0" xfId="0">
      <alignment horizontal="center"/>
    </xf>
    <xf numFmtId="0" fontId="65"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76"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47" pivotButton="0" quotePrefix="0" xfId="0"/>
    <xf numFmtId="0" fontId="0" fillId="0" borderId="25" pivotButton="0" quotePrefix="0" xfId="0"/>
    <xf numFmtId="0" fontId="0" fillId="0" borderId="38" pivotButton="0" quotePrefix="0" xfId="0"/>
    <xf numFmtId="0" fontId="79" fillId="0" borderId="1" applyAlignment="1" pivotButton="0" quotePrefix="0" xfId="0">
      <alignment horizontal="center"/>
    </xf>
    <xf numFmtId="166" fontId="59" fillId="0" borderId="1" applyAlignment="1" pivotButton="0" quotePrefix="0" xfId="2">
      <alignment horizontal="center"/>
    </xf>
    <xf numFmtId="174" fontId="65" fillId="0" borderId="1" applyAlignment="1" pivotButton="0" quotePrefix="0" xfId="3">
      <alignment horizontal="center"/>
    </xf>
    <xf numFmtId="0" fontId="66" fillId="0" borderId="1" applyAlignment="1" pivotButton="0" quotePrefix="0" xfId="0">
      <alignment horizontal="left" vertical="center" wrapText="1"/>
    </xf>
    <xf numFmtId="10" fontId="59" fillId="7" borderId="1" applyAlignment="1" pivotButton="0" quotePrefix="0" xfId="3">
      <alignment horizontal="center"/>
    </xf>
    <xf numFmtId="0" fontId="78" fillId="0" borderId="1" applyAlignment="1" pivotButton="0" quotePrefix="0" xfId="0">
      <alignment horizontal="left" vertical="center" wrapText="1"/>
    </xf>
    <xf numFmtId="166" fontId="59" fillId="0" borderId="6" applyAlignment="1" pivotButton="0" quotePrefix="0" xfId="2">
      <alignment horizontal="center"/>
    </xf>
    <xf numFmtId="166" fontId="59" fillId="0" borderId="15" applyAlignment="1" pivotButton="0" quotePrefix="0" xfId="2">
      <alignment horizontal="center"/>
    </xf>
    <xf numFmtId="0" fontId="0" fillId="0" borderId="46" pivotButton="0" quotePrefix="0" xfId="0"/>
    <xf numFmtId="166" fontId="82" fillId="9" borderId="68" pivotButton="0" quotePrefix="0" xfId="2"/>
    <xf numFmtId="167" fontId="59" fillId="0" borderId="16" pivotButton="0" quotePrefix="0" xfId="2"/>
    <xf numFmtId="167" fontId="59" fillId="0" borderId="0" pivotButton="0" quotePrefix="0" xfId="2"/>
    <xf numFmtId="167" fontId="59" fillId="7" borderId="5" applyAlignment="1" pivotButton="0" quotePrefix="0" xfId="2">
      <alignment horizontal="right"/>
    </xf>
    <xf numFmtId="0" fontId="0" fillId="0" borderId="33" pivotButton="0" quotePrefix="0" xfId="0"/>
    <xf numFmtId="0" fontId="0" fillId="0" borderId="84" pivotButton="0" quotePrefix="0" xfId="0"/>
    <xf numFmtId="0" fontId="0" fillId="0" borderId="44" pivotButton="0" quotePrefix="0" xfId="0"/>
    <xf numFmtId="166" fontId="59" fillId="0" borderId="22" applyAlignment="1" pivotButton="0" quotePrefix="0" xfId="0">
      <alignment horizontal="left"/>
    </xf>
    <xf numFmtId="164" fontId="0" fillId="0" borderId="0" pivotButton="0" quotePrefix="0" xfId="0"/>
    <xf numFmtId="0" fontId="45" fillId="0" borderId="86" applyAlignment="1" pivotButton="0" quotePrefix="0" xfId="0">
      <alignment horizontal="center"/>
    </xf>
    <xf numFmtId="0" fontId="0" fillId="0" borderId="70" pivotButton="0" quotePrefix="0" xfId="0"/>
    <xf numFmtId="0" fontId="0" fillId="0" borderId="71" pivotButton="0" quotePrefix="0" xfId="0"/>
    <xf numFmtId="17" fontId="48" fillId="0" borderId="85" applyAlignment="1" pivotButton="0" quotePrefix="0" xfId="0">
      <alignment horizontal="center"/>
    </xf>
    <xf numFmtId="0" fontId="0" fillId="0" borderId="73" pivotButton="0" quotePrefix="0" xfId="0"/>
    <xf numFmtId="0" fontId="0" fillId="0" borderId="89" pivotButton="0" quotePrefix="0" xfId="0"/>
    <xf numFmtId="0" fontId="48" fillId="0" borderId="40" applyAlignment="1" pivotButton="0" quotePrefix="0" xfId="0">
      <alignment horizontal="center"/>
    </xf>
    <xf numFmtId="177" fontId="50" fillId="0" borderId="1" pivotButton="0" quotePrefix="0" xfId="0"/>
    <xf numFmtId="164" fontId="50" fillId="7" borderId="76" pivotButton="0" quotePrefix="0" xfId="0"/>
    <xf numFmtId="167" fontId="50" fillId="7" borderId="41" pivotButton="0" quotePrefix="0" xfId="0"/>
    <xf numFmtId="167" fontId="50" fillId="7" borderId="34" pivotButton="0" quotePrefix="0" xfId="0"/>
    <xf numFmtId="167" fontId="50" fillId="0" borderId="1" pivotButton="0" quotePrefix="0" xfId="0"/>
    <xf numFmtId="167" fontId="50" fillId="7" borderId="1" pivotButton="0" quotePrefix="0" xfId="0"/>
    <xf numFmtId="177" fontId="50" fillId="7" borderId="34" pivotButton="0" quotePrefix="0" xfId="0"/>
    <xf numFmtId="164" fontId="50" fillId="7" borderId="1" pivotButton="0" quotePrefix="0" xfId="0"/>
    <xf numFmtId="168" fontId="50" fillId="0" borderId="1" pivotButton="0" quotePrefix="0" xfId="0"/>
    <xf numFmtId="166" fontId="50" fillId="7" borderId="42" pivotButton="0" quotePrefix="0" xfId="0"/>
    <xf numFmtId="166" fontId="50" fillId="0" borderId="26" pivotButton="0" quotePrefix="0" xfId="0"/>
    <xf numFmtId="166" fontId="50" fillId="7" borderId="1" pivotButton="0" quotePrefix="0" xfId="0"/>
    <xf numFmtId="164" fontId="87" fillId="9" borderId="68" applyAlignment="1" pivotButton="0" quotePrefix="0" xfId="0">
      <alignment horizontal="center"/>
    </xf>
    <xf numFmtId="166" fontId="8" fillId="0" borderId="3" applyAlignment="1" pivotButton="0" quotePrefix="0" xfId="0">
      <alignment horizontal="center"/>
    </xf>
    <xf numFmtId="166" fontId="87" fillId="9" borderId="68" applyAlignment="1" pivotButton="0" quotePrefix="0" xfId="0">
      <alignment horizontal="center"/>
    </xf>
    <xf numFmtId="166" fontId="8" fillId="0" borderId="9" applyAlignment="1" pivotButton="0" quotePrefix="0" xfId="0">
      <alignment horizontal="center"/>
    </xf>
    <xf numFmtId="10" fontId="80" fillId="0" borderId="2" applyAlignment="1" pivotButton="0" quotePrefix="0" xfId="0">
      <alignment horizontal="center"/>
    </xf>
    <xf numFmtId="0" fontId="0" fillId="0" borderId="22" pivotButton="0" quotePrefix="0" xfId="0"/>
    <xf numFmtId="164" fontId="38" fillId="2" borderId="1" pivotButton="0" quotePrefix="0" xfId="0"/>
    <xf numFmtId="164" fontId="38" fillId="2" borderId="1" pivotButton="0" quotePrefix="0" xfId="2"/>
    <xf numFmtId="166" fontId="45" fillId="0" borderId="6" applyAlignment="1" pivotButton="0" quotePrefix="0" xfId="0">
      <alignment horizontal="center"/>
    </xf>
    <xf numFmtId="175" fontId="45" fillId="0" borderId="1" applyAlignment="1" pivotButton="0" quotePrefix="0" xfId="1">
      <alignment horizontal="center"/>
    </xf>
    <xf numFmtId="168" fontId="38" fillId="0" borderId="1" applyAlignment="1" pivotButton="0" quotePrefix="0" xfId="0">
      <alignment horizontal="center"/>
    </xf>
    <xf numFmtId="164" fontId="38" fillId="5" borderId="2" pivotButton="0" quotePrefix="0" xfId="2"/>
    <xf numFmtId="164" fontId="38" fillId="0" borderId="0" pivotButton="0" quotePrefix="0" xfId="2"/>
    <xf numFmtId="165" fontId="38" fillId="5" borderId="2" pivotButton="0" quotePrefix="0" xfId="0"/>
    <xf numFmtId="0" fontId="38" fillId="7" borderId="2" applyAlignment="1" pivotButton="0" quotePrefix="0" xfId="0">
      <alignment horizontal="left" wrapText="1"/>
    </xf>
    <xf numFmtId="164" fontId="38" fillId="5" borderId="1" pivotButton="0" quotePrefix="0" xfId="0"/>
    <xf numFmtId="166" fontId="38" fillId="5" borderId="2" pivotButton="0" quotePrefix="0" xfId="0"/>
    <xf numFmtId="0" fontId="45" fillId="7" borderId="2" applyAlignment="1" pivotButton="0" quotePrefix="0" xfId="0">
      <alignment horizontal="center"/>
    </xf>
    <xf numFmtId="164" fontId="50" fillId="3" borderId="1" pivotButton="0" quotePrefix="0" xfId="2"/>
    <xf numFmtId="164" fontId="54" fillId="0" borderId="1" pivotButton="0" quotePrefix="0" xfId="2"/>
    <xf numFmtId="164" fontId="54" fillId="0" borderId="3" pivotButton="0" quotePrefix="0" xfId="2"/>
    <xf numFmtId="164" fontId="50" fillId="0" borderId="2" pivotButton="0" quotePrefix="0" xfId="2"/>
    <xf numFmtId="164" fontId="54" fillId="0" borderId="0" pivotButton="0" quotePrefix="0" xfId="2"/>
    <xf numFmtId="164" fontId="50" fillId="0" borderId="0" pivotButton="0" quotePrefix="0" xfId="2"/>
    <xf numFmtId="166" fontId="50" fillId="0" borderId="40" pivotButton="0" quotePrefix="0" xfId="0"/>
    <xf numFmtId="176" fontId="50" fillId="0" borderId="1" pivotButton="0" quotePrefix="0" xfId="2"/>
    <xf numFmtId="0" fontId="33" fillId="7" borderId="2" applyAlignment="1" pivotButton="0" quotePrefix="0" xfId="0">
      <alignment horizontal="left" vertical="top" wrapText="1"/>
    </xf>
    <xf numFmtId="164" fontId="11" fillId="3" borderId="1" pivotButton="0" quotePrefix="0" xfId="2"/>
    <xf numFmtId="172" fontId="29"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5" fontId="11" fillId="2" borderId="2" pivotButton="0" quotePrefix="0" xfId="0"/>
    <xf numFmtId="164" fontId="11" fillId="2" borderId="4" pivotButton="0" quotePrefix="0" xfId="0"/>
    <xf numFmtId="166" fontId="0" fillId="5" borderId="1" pivotButton="0" quotePrefix="0" xfId="0"/>
    <xf numFmtId="0" fontId="34" fillId="7" borderId="2" applyAlignment="1" pivotButton="0" quotePrefix="0" xfId="0">
      <alignment horizontal="left" vertical="top" wrapText="1"/>
    </xf>
    <xf numFmtId="0" fontId="35"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5" fillId="0" borderId="2" applyAlignment="1" pivotButton="0" quotePrefix="0" xfId="0">
      <alignment horizontal="center"/>
    </xf>
    <xf numFmtId="169" fontId="0" fillId="0" borderId="0" pivotButton="0" quotePrefix="0" xfId="0"/>
    <xf numFmtId="0" fontId="26" fillId="7" borderId="2" applyAlignment="1" pivotButton="0" quotePrefix="0" xfId="0">
      <alignment horizontal="center"/>
    </xf>
    <xf numFmtId="0" fontId="81" fillId="0" borderId="1" applyAlignment="1" pivotButton="0" quotePrefix="0" xfId="0">
      <alignment horizontal="center" vertical="center" textRotation="90" wrapText="1"/>
    </xf>
    <xf numFmtId="0" fontId="0" fillId="0" borderId="48" pivotButton="0" quotePrefix="0" xfId="0"/>
    <xf numFmtId="0" fontId="0" fillId="0" borderId="9" pivotButton="0" quotePrefix="0" xfId="0"/>
    <xf numFmtId="177" fontId="0" fillId="0" borderId="1" applyAlignment="1" pivotButton="0" quotePrefix="0" xfId="0">
      <alignment horizontal="center"/>
    </xf>
    <xf numFmtId="178" fontId="0" fillId="0" borderId="0" pivotButton="0" quotePrefix="0" xfId="0"/>
    <xf numFmtId="0" fontId="37" fillId="7" borderId="79" applyAlignment="1" pivotButton="0" quotePrefix="0" xfId="0">
      <alignment horizontal="left" vertical="top" wrapText="1"/>
    </xf>
    <xf numFmtId="0" fontId="0" fillId="0" borderId="55" pivotButton="0" quotePrefix="0" xfId="0"/>
    <xf numFmtId="0" fontId="0" fillId="0" borderId="57" pivotButton="0" quotePrefix="0" xfId="0"/>
    <xf numFmtId="0" fontId="0" fillId="0" borderId="58" pivotButton="0" quotePrefix="0" xfId="0"/>
    <xf numFmtId="0" fontId="0" fillId="0" borderId="59"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29"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5">
    <cellStyle name="Normal" xfId="0" builtinId="0"/>
    <cellStyle name="Comma" xfId="1" builtinId="3"/>
    <cellStyle name="Currency" xfId="2" builtinId="4"/>
    <cellStyle name="Percent" xfId="3" builtinId="5"/>
    <cellStyle name="Hyperlink" xfId="4" builtinId="8"/>
  </cellStyles>
  <dxfs count="5">
    <dxf>
      <border>
        <left/>
        <right/>
        <top/>
        <bottom/>
      </border>
    </dxf>
    <dxf>
      <font>
        <name val="Geneva"/>
        <family val="2"/>
        <strike val="0"/>
        <outline val="0"/>
        <shadow val="0"/>
        <condense val="0"/>
        <color auto="1"/>
        <extend val="0"/>
        <sz val="9"/>
        <vertAlign val="baseline"/>
      </font>
      <alignment horizontal="center" vertical="bottom"/>
      <border>
        <left/>
        <right/>
        <top/>
        <bottom style="thin">
          <color indexed="64"/>
        </bottom>
        <vertical/>
        <horizontal/>
      </border>
    </dxf>
    <dxf>
      <font>
        <name val="Geneva"/>
        <family val="2"/>
        <strike val="0"/>
        <outline val="0"/>
        <shadow val="0"/>
        <condense val="0"/>
        <color auto="1"/>
        <extend val="0"/>
        <sz val="9"/>
        <vertAlign val="baseline"/>
      </font>
      <border>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tc={71F54301-01F9-6142-81B2-70E7EE6CDDF7}</author>
    <author>tc={54FBC3F9-EB9F-7C41-8C6D-97F512BA685D}</author>
    <author>tc={CA4A0E69-2EC1-064C-82D5-50B182E99825}</author>
    <author>tc={E0152BD4-8763-E340-9F3D-57E83246CD86}</author>
    <author>tc={2D890560-A4D2-9046-BCC4-FEE8DA2A9099}</author>
    <author>tc={09E9FA1F-138A-9547-B116-0278E256325D}</author>
    <author>StockInsight audit</author>
    <author>tc={2F9D57EC-A335-6C45-8636-50B8E9391785}</author>
    <author>tc={AFFC9966-65E7-7849-A618-5DEF034E694A}</author>
    <author>tc={E540843E-F2A3-134C-8531-DA60E38A7694}</author>
    <author>tc={77A98811-E565-A44B-A04A-39493A90F633}</author>
    <author>tc={1B0C707C-9FE4-EC47-8991-BFB3094AFE63}</author>
    <author>tc={4EBAB3AE-4130-E345-91F6-F196751794B7}</author>
    <author>tc={EEE67F91-B486-C642-BCF8-918B32B4F8EF}</author>
    <author>tc={2A62643D-C33C-9A46-A5F0-E66BADC89EAC}</author>
    <author>tc={AEED2D9E-7933-0546-A108-B06B6DBDF425}</author>
    <author>tc={E2546F12-07E7-8E43-BAF4-4BA7F486E85D}</author>
    <author>tc={7036E80F-6A3B-5240-ADB4-827D900C1913}</author>
    <author>tc={4EF0786B-4C78-E749-BA0E-D37E40A13CCA}</author>
    <author>tc={66B71247-062C-884C-A110-2FA7FC5BB361}</author>
    <author>tc={51B4C672-001E-AC42-885D-01422D0EE688}</author>
    <author>tc={38AE7BD4-BE10-B140-8F0C-6498039783B4}</author>
    <author>tc={218968A8-BC08-A64F-9F0E-C67E68AA4DD8}</author>
    <author>tc={7EC7B7C4-E2EF-5C47-9F07-E86FFDCD3214}</author>
    <author>tc={4B2B4743-2757-3E4B-9959-BA2D9ACB4202}</author>
    <author>tc={751B8FE4-9055-B84E-A3C8-0E4DEADB3EA0}</author>
    <author>tc={5CA1C1D1-F4A5-8446-B5E9-71CD54EF2545}</author>
    <author>tc={3FA629D8-89D5-E143-B22C-AFE6CD0C8514}</author>
    <author>tc={594B4E1B-3ACD-0F43-A4CB-A9BE88E089B5}</author>
    <author>tc={AE13966B-AB4E-B34C-AB49-2D7FEA7E9120}</author>
    <author>tc={FBD5A24E-83BA-4543-B49C-42E85C8B9500}</author>
    <author>tc={41BD63FD-2E13-334D-AC8A-F4702E32C3C5}</author>
    <author>tc={A59C3A77-9765-B147-B40F-B2F3A4E48AC3}</author>
    <author>tc={DB629F1F-F83F-F647-853F-47BFC31610CD}</author>
    <author>tc={B1F53202-2F0D-D541-9E18-76005E4E45E4}</author>
    <author>tc={3B1FC220-3FE7-E54A-96FA-E03CEFCBFDE2}</author>
    <author>tc={635D9BDD-F56D-3A4B-BB73-B545395723F2}</author>
    <author>tc={F6C404B5-0607-B64F-8A31-FA7F51831376}</author>
    <author>tc={84D307F5-C671-864E-A8B6-E08441B4818E}</author>
    <author>tc={2377327B-59EE-3545-8F8A-AE8AED070076}</author>
    <author>tc={23A45B0B-C6F1-6248-99DC-D3FB7F79095D}</author>
    <author>tc={C653EB8A-25F4-464F-BD99-C6B45BEA26C3}</author>
    <author>tc={BC8F5940-D88C-FF41-BFB0-C57C664414DF}</author>
    <author>tc={E70E7C6A-F80C-1541-B56C-B7B598D70448}</author>
    <author>tc={2714D861-0A48-5D43-B0B4-66453AEB395D}</author>
    <author>tc={BACA5868-B98A-F34A-BB35-5BF8D7D47027}</author>
    <author>tc={70BF85C9-F9B1-4243-88BC-086E5E41286E}</author>
    <author>tc={D5616C1A-972E-EA45-89C6-4108E9869A9C}</author>
    <author>tc={864108E8-64F4-C649-B7F6-27546ED36042}</author>
    <author>tc={52953B18-6ABF-C140-A50D-98AA9E44D651}</author>
    <author>tc={25389A54-C635-ED40-849A-EEB0EC5D59A1}</author>
    <author>tc={2C7CA6D9-70A4-454D-A0BD-19CB3A5D02DF}</author>
    <author>tc={997F1F94-CD24-FE40-933F-77DF8B8E547F}</author>
    <author>tc={FC146819-31BC-CD4B-BB8F-10573BD83B4A}</author>
    <author>tc={3402EFD0-3B2F-EB41-AC9A-ADE509BA8833}</author>
    <author>tc={486B0BE4-91F5-A947-86B6-995AD147925C}</author>
    <author>tc={BC724579-4871-0448-B3E6-EFAC6D77BD38}</author>
  </authors>
  <commentList>
    <comment ref="B7" authorId="0" shapeId="0">
      <text>
        <t>[Threaded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t>
      </text>
    </comment>
    <comment ref="B8" authorId="1" shapeId="0">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t>
      </text>
    </comment>
    <comment ref="B9" authorId="2" shapeId="0">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
      </text>
    </comment>
    <comment ref="C10" authorId="3"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ref="D10" authorId="4" shapeId="0">
      <text>
        <t>[Threaded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5" shapeId="0">
      <text>
        <t>[Threaded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t>
      </text>
    </comment>
    <comment ref="C11" authorId="6" shapeId="0">
      <text>
        <t>Prior-year column is a placeholder (90% of TTM). The StockInsight app has no prior-year input; these cells feed only the Computed-numbers diagnostics block, never the valuation chain.</t>
      </text>
    </comment>
    <comment ref="D11" authorId="7" shapeId="0">
      <text>
        <t>[Threaded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
      </text>
    </comment>
    <comment ref="B12" authorId="8" shapeId="0">
      <text>
        <t>[Threaded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t>
      </text>
    </comment>
    <comment ref="C12" authorId="9" shapeId="0">
      <text>
        <t>[Threaded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t>
      </text>
    </comment>
    <comment ref="B14" authorId="10" shapeId="0">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
      </text>
    </comment>
    <comment ref="C14" authorId="11" shapeId="0">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t>
      </text>
    </comment>
    <comment ref="B15" authorId="12"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ref="C15" authorId="13" shapeId="0">
      <text>
        <t>[Threaded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t>
      </text>
    </comment>
    <comment ref="B16" authorId="14" shapeId="0">
      <text>
        <t>[Threaded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t>
      </text>
    </comment>
    <comment ref="B17" authorId="15" shapeId="0">
      <text>
        <t>[Threaded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
      </text>
    </comment>
    <comment ref="B18" authorId="16" shapeId="0">
      <text>
        <t>[Threaded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t>
      </text>
    </comment>
    <comment ref="C18" authorId="17" shapeId="0">
      <text>
        <t>[Threaded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t>
      </text>
    </comment>
    <comment ref="B19" authorId="18" shapeId="0">
      <text>
        <t>[Threaded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
      </text>
    </comment>
    <comment ref="B20" authorId="19" shapeId="0">
      <text>
        <t>[Threaded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20" shapeId="0">
      <text>
        <t>[Threaded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t>
      </text>
    </comment>
    <comment ref="B22" authorId="21" shapeId="0">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ref="B23" authorId="22" shapeId="0">
      <text>
        <t>[Threaded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
      </text>
    </comment>
    <comment ref="B24" authorId="23" shapeId="0">
      <text>
        <t>[Threaded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t>
      </text>
    </comment>
    <comment ref="B26" authorId="24" shapeId="0">
      <text>
        <t>[Threaded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
      </text>
    </comment>
    <comment ref="B27" authorId="25" shapeId="0">
      <text>
        <t>[Threaded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t>
      </text>
    </comment>
    <comment ref="B28" authorId="26" shapeId="0">
      <text>
        <t>[Threaded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27" shapeId="0">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ref="B30" authorId="28" shapeId="0">
      <text>
        <t>[Threaded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t>
      </text>
    </comment>
    <comment ref="B31" authorId="29" shapeId="0">
      <text>
        <t>[Threaded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
      </text>
    </comment>
    <comment ref="B32" authorId="30" shapeId="0">
      <text>
        <t>[Threaded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t>
      </text>
    </comment>
    <comment ref="B34" authorId="6" shapeId="0">
      <text>
        <t>HARDCODED OVERRIDE to match StockInsight TEST ticker fixture (riskFreeRate = 4%). Normally the 10-yr treasury yield (^TNX). Source: stockinsight/src/app/fcff/page.tsx:428</t>
      </text>
    </comment>
    <comment ref="J34" authorId="31" shapeId="0">
      <text>
        <t>[Threaded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t>
      </text>
    </comment>
    <comment ref="B35" authorId="32" shapeId="0">
      <text>
        <t>[Threaded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t>
      </text>
    </comment>
    <comment ref="J35" authorId="33" shapeId="0">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ref="J36" authorId="34" shapeId="0">
      <text>
        <t>[Threaded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t>
      </text>
    </comment>
    <comment ref="B37" authorId="35" shapeId="0">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ref="B38" authorId="36" shapeId="0">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ref="B39" authorId="37" shapeId="0">
      <text>
        <t>[Threaded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t>
      </text>
    </comment>
    <comment ref="B40" authorId="38" shapeId="0">
      <text>
        <t>[Threaded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t>
      </text>
    </comment>
    <comment ref="B41" authorId="39" shapeId="0">
      <text>
        <t>[Threaded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t>
      </text>
    </comment>
    <comment ref="B46" authorId="40" shapeId="0">
      <text>
        <t>[Threaded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
      </text>
    </comment>
    <comment ref="B49" authorId="41" shapeId="0">
      <text>
        <t>[Threaded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t>
      </text>
    </comment>
    <comment ref="B51" authorId="42" shapeId="0">
      <text>
        <t>[Threaded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t>
      </text>
    </comment>
    <comment ref="B52" authorId="43"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ref="B53" authorId="44" shapeId="0">
      <text>
        <t>[Threaded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45" shapeId="0">
      <text>
        <t>[Threaded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6" authorId="46" shapeId="0">
      <text>
        <t>[Threaded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
      </text>
    </comment>
    <comment ref="B57" authorId="47" shapeId="0">
      <text>
        <t>[Threaded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t>
      </text>
    </comment>
    <comment ref="B59" authorId="48" shapeId="0">
      <text>
        <t>[Threaded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
      </text>
    </comment>
    <comment ref="B62" authorId="49" shapeId="0">
      <text>
        <t>[Threaded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t>
      </text>
    </comment>
    <comment ref="B64" authorId="50" shapeId="0">
      <text>
        <t>[Threaded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
      </text>
    </comment>
    <comment ref="B65" authorId="51" shapeId="0">
      <text>
        <t>[Threaded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t>
      </text>
    </comment>
    <comment ref="B67" authorId="52" shapeId="0">
      <text>
        <t>[Threaded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t>
      </text>
    </comment>
    <comment ref="B68" authorId="53" shapeId="0">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ref="B70" authorId="54" shapeId="0">
      <text>
        <t>[Threaded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t>
      </text>
    </comment>
    <comment ref="B71" authorId="55" shapeId="0">
      <text>
        <t>[Threaded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56" shapeId="0">
      <text>
        <t>[Threaded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tc={AA550503-3638-E344-A76C-EC9EE16E8E35}</author>
    <author>tc={0773F50D-8F4A-8942-A093-8D85A28A7EFC}</author>
    <author>tc={92B75667-258A-9041-A90E-BA34684C64D8}</author>
  </authors>
  <commentList>
    <comment ref="F8" authorId="0" shapeId="0">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ref="F9" authorId="1" shapeId="0">
      <text>
        <t>[Threaded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t>
      </text>
    </comment>
    <comment ref="F10" authorId="2" shapeId="0">
      <text>
        <t>[Threaded comment]
Your version of Excel allows you to read this threaded comment; however, any edits to it will get removed if the file is opened in a newer version of Excel. Learn more: https://go.microsoft.com/fwlink/?linkid=870924
Comment:
    I use a 10 year government bond rate.</t>
      </text>
    </comment>
  </commentList>
</comments>
</file>

<file path=xl/comments/comment3.xml><?xml version="1.0" encoding="utf-8"?>
<comments xmlns="http://schemas.openxmlformats.org/spreadsheetml/2006/main">
  <authors>
    <author>tc={BC7D716B-CF00-F547-AE72-E2F45BCC1F61}</author>
    <author>tc={ED7E82EC-F310-0248-9E9E-817504C4829B}</author>
    <author>tc={592C6C60-5223-4B45-8A69-B291166B7E7E}</author>
  </authors>
  <commentList>
    <comment ref="F7" authorId="0" shapeId="0">
      <text>
        <t>[Threaded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t>
      </text>
    </comment>
    <comment ref="B10" authorId="1" shapeId="0">
      <text>
        <t>[Threaded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t>
      </text>
    </comment>
    <comment ref="D40" authorId="2" shapeId="0">
      <text>
        <t>[Threaded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tc={4E9D46C3-9490-AE49-9C1C-FE39D8287CF7}</author>
    <author>tc={088A5D00-F7DB-F641-B5E4-2511B8451119}</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t>
      </text>
    </comment>
    <comment ref="B6" authorId="1" shapeId="0">
      <text>
        <t>[Threaded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
      </text>
    </comment>
  </commentList>
</comments>
</file>

<file path=xl/comments/comment5.xml><?xml version="1.0" encoding="utf-8"?>
<comments xmlns="http://schemas.openxmlformats.org/spreadsheetml/2006/main">
  <authors>
    <author>tc={A23E286D-FDA4-E04B-B2B6-8101484E8233}</author>
    <author>tc={E56104C5-7C66-F848-B455-D4DEB1B906C4}</author>
    <author>StockInsight audit</author>
    <author>tc={48141766-7F07-C447-89ED-3E1A81023B2B}</author>
    <author>tc={568DD258-B547-7D4B-8EA5-8936C8A36C7A}</author>
    <author>tc={0B49E534-4839-224A-A0D8-3E69E03A9811}</author>
    <author>tc={5A91BFC2-E30D-1B4A-87B9-BB138BF07698}</author>
    <author>tc={99D69372-A294-2A49-8F68-E27D38561195}</author>
    <author>tc={CDB18AC1-A933-1F49-84C1-AA536ECAB35B}</author>
    <author>tc={40F47070-A7F9-764E-BF6F-3CDF01F6763D}</author>
  </authors>
  <commentList>
    <comment ref="B23" authorId="0" shapeId="0">
      <text>
        <t>[Threaded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t>
      </text>
    </comment>
    <comment ref="B25" authorId="1" shapeId="0">
      <text>
        <t>[Threaded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t>
      </text>
    </comment>
    <comment ref="B26" authorId="2" shapeId="0">
      <text>
        <t>HARDCODED OVERRIDE to match StockInsight TEST ticker fixture (equityRiskPremium = 5%). Sheet's own US ERP is 4.46%. Source: stockinsight/src/app/fcff/page.tsx:427</t>
      </text>
    </comment>
    <comment ref="B27" authorId="3" shapeId="0">
      <text>
        <t>[Threaded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t>
      </text>
    </comment>
    <comment ref="B31" authorId="4" shapeId="0">
      <text>
        <t>[Threaded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t>
      </text>
    </comment>
    <comment ref="B32" authorId="5" shapeId="0">
      <text>
        <t>[Threaded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t>
      </text>
    </comment>
    <comment ref="B33" authorId="6" shapeId="0">
      <text>
        <t>[Threaded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
      </text>
    </comment>
    <comment ref="B35" authorId="7" shapeId="0">
      <text>
        <t>[Threaded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t>
      </text>
    </comment>
    <comment ref="B36" authorId="8" shapeId="0">
      <text>
        <t>[Threaded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t>
      </text>
    </comment>
    <comment ref="B37" authorId="9" shapeId="0">
      <text>
        <t>[Threaded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t>
      </text>
    </comment>
  </commentList>
</comments>
</file>

<file path=xl/comments/comment6.xml><?xml version="1.0" encoding="utf-8"?>
<comments xmlns="http://schemas.openxmlformats.org/spreadsheetml/2006/main">
  <authors>
    <author>tc={C3B82CD1-0285-F746-B2B0-DC065BFFA19E}</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508000</colOff>
      <row>0</row>
      <rowOff>12700</rowOff>
    </from>
    <to>
      <col>13</col>
      <colOff>685800</colOff>
      <row>16</row>
      <rowOff>152400</rowOff>
    </to>
    <pic>
      <nvPicPr>
        <cNvPr id="1160" name="Picture 5"/>
        <cNvPicPr>
          <a:picLocks noChangeAspect="1" noChangeArrowheads="1"/>
        </cNvPicPr>
      </nvPicPr>
      <blipFill>
        <a:blip r:embed="rId1"/>
        <a:srcRect/>
        <a:stretch>
          <a:fillRect/>
        </a:stretch>
      </blipFill>
      <spPr bwMode="auto">
        <a:xfrm>
          <a:off x="17526000" y="12700"/>
          <a:ext cx="3162300" cy="3441700"/>
        </a:xfrm>
        <a:prstGeom prst="rect">
          <avLst/>
        </a:prstGeom>
        <a:noFill/>
        <a:ln>
          <a:noFill/>
          <a:prstDash val="solid"/>
        </a:ln>
      </spPr>
    </pic>
    <clientData/>
  </twoCellAnchor>
</wsDr>
</file>

<file path=xl/tables/table1.xml><?xml version="1.0" encoding="utf-8"?>
<table xmlns="http://schemas.openxmlformats.org/spreadsheetml/2006/main" id="1" name="Table1" displayName="Table1" ref="A43:B141" headerRowCount="1" totalsRowShown="0" headerRowBorderDxfId="4" tableBorderDxfId="3">
  <autoFilter ref="A43:B141"/>
  <tableColumns count="2">
    <tableColumn id="1" name="Industry Name" dataDxfId="2"/>
    <tableColumn id="2" name="Amortization Period"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youtu.be/kyKfJ_7-mdg?si=FIeHhnLH2_2brag3" TargetMode="External" Id="rId1" /><Relationship Type="http://schemas.openxmlformats.org/officeDocument/2006/relationships/drawing" Target="/xl/drawings/drawing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N74"/>
  <sheetViews>
    <sheetView tabSelected="1" topLeftCell="B1" zoomScaleNormal="100" workbookViewId="0">
      <selection activeCell="L25" sqref="L25"/>
    </sheetView>
  </sheetViews>
  <sheetFormatPr baseColWidth="10" defaultRowHeight="12"/>
  <cols>
    <col width="73.6640625" customWidth="1" style="3" min="1" max="1"/>
    <col width="26.5" customWidth="1" style="3" min="2" max="2"/>
    <col width="23.1640625" customWidth="1" style="3" min="3" max="3"/>
    <col width="19.6640625" customWidth="1" style="3" min="4" max="4"/>
    <col width="10.83203125" customWidth="1" style="3" min="5" max="7"/>
    <col width="11" bestFit="1" customWidth="1" style="3" min="8" max="8"/>
    <col width="21.83203125" customWidth="1" style="3" min="9" max="9"/>
    <col width="15" bestFit="1" customWidth="1" style="3" min="10" max="10"/>
    <col width="17.5" bestFit="1" customWidth="1" style="3" min="11" max="11"/>
    <col width="10.83203125" customWidth="1" style="3" min="12" max="16384"/>
  </cols>
  <sheetData>
    <row r="1" ht="16" customFormat="1" customHeight="1" s="188">
      <c r="B1" s="225" t="n"/>
      <c r="C1" s="188" t="inlineStr">
        <is>
          <t>Input cell</t>
        </is>
      </c>
      <c r="D1" s="226" t="n"/>
      <c r="E1" s="188" t="inlineStr">
        <is>
          <t>Calculated cell</t>
        </is>
      </c>
    </row>
    <row r="2" ht="16" customFormat="1" customHeight="1" s="189"/>
    <row r="3" ht="16" customFormat="1" customHeight="1" s="189">
      <c r="A3" s="190" t="inlineStr">
        <is>
          <t>Date of valuation</t>
        </is>
      </c>
      <c r="B3" s="191" t="n">
        <v>44592</v>
      </c>
      <c r="C3" s="387" t="inlineStr">
        <is>
          <t>Important: Before you run this spreadsheet, go into preferences in Excel and check under Calculation options</t>
        </is>
      </c>
      <c r="D3" s="388" t="n"/>
      <c r="E3" s="388" t="n"/>
      <c r="F3" s="388" t="n"/>
      <c r="G3" s="388" t="n"/>
      <c r="H3" s="388" t="n"/>
      <c r="I3" s="388" t="n"/>
      <c r="J3" s="389" t="n"/>
    </row>
    <row r="4" ht="17" customFormat="1" customHeight="1" s="189" thickBot="1">
      <c r="A4" s="190" t="inlineStr">
        <is>
          <t>Company name</t>
        </is>
      </c>
      <c r="B4" s="397" t="inlineStr">
        <is>
          <t>TEST (StockInsight test ticker)</t>
        </is>
      </c>
      <c r="C4" s="390" t="inlineStr">
        <is>
          <t>There should be a check against the iteration box. If there is not, you will get circular reasoning errors.</t>
        </is>
      </c>
      <c r="D4" s="391" t="n"/>
      <c r="E4" s="391" t="n"/>
      <c r="F4" s="391" t="n"/>
      <c r="G4" s="391" t="n"/>
      <c r="H4" s="391" t="n"/>
      <c r="I4" s="391" t="n"/>
      <c r="J4" s="392" t="n"/>
    </row>
    <row r="5" ht="17" customFormat="1" customHeight="1" s="189" thickBot="1">
      <c r="A5" s="675" t="inlineStr">
        <is>
          <t>Numbers from your base year below ( in consistent units, i.e., if you enter numbers in millions, stay with millions all the way through, including on share count.</t>
        </is>
      </c>
      <c r="B5" s="676" t="n"/>
      <c r="C5" s="676" t="n"/>
      <c r="D5" s="676" t="n"/>
      <c r="E5" s="676" t="n"/>
      <c r="F5" s="676" t="n"/>
      <c r="G5" s="676" t="n"/>
      <c r="H5" s="676" t="n"/>
      <c r="I5" s="676" t="n"/>
      <c r="J5" s="677" t="n"/>
    </row>
    <row r="6" ht="17" customFormat="1" customHeight="1" s="189" thickBot="1">
      <c r="A6" s="190" t="inlineStr">
        <is>
          <t>If you don't understand an input, turn on comemnts and you should see my suggestions on that input.</t>
        </is>
      </c>
      <c r="B6" s="190" t="n"/>
      <c r="C6" s="190" t="n"/>
    </row>
    <row r="7" ht="16" customFormat="1" customHeight="1" s="189">
      <c r="A7" s="189" t="inlineStr">
        <is>
          <t>Country of incorporation</t>
        </is>
      </c>
      <c r="B7" s="192" t="inlineStr">
        <is>
          <t>United States</t>
        </is>
      </c>
      <c r="C7" s="190" t="n"/>
      <c r="F7" s="678" t="inlineStr">
        <is>
          <t xml:space="preserve">If you want a guide through this spreadsheet, try this YouTube video that takes you through each input cell: https://youtu.be/kyKfJ_7-mdg?si=FIeHhnLH2_2brag3 </t>
        </is>
      </c>
      <c r="G7" s="679" t="n"/>
      <c r="H7" s="679" t="n"/>
      <c r="I7" s="680" t="n"/>
    </row>
    <row r="8" ht="16" customFormat="1" customHeight="1" s="189">
      <c r="A8" s="189" t="inlineStr">
        <is>
          <t>Industry (US)</t>
        </is>
      </c>
      <c r="B8" s="192" t="inlineStr">
        <is>
          <t>Advertising</t>
        </is>
      </c>
      <c r="F8" s="681" t="n"/>
      <c r="I8" s="682" t="n"/>
    </row>
    <row r="9" ht="16" customFormat="1" customHeight="1" s="189">
      <c r="A9" s="189" t="inlineStr">
        <is>
          <t>Industry (Global)</t>
        </is>
      </c>
      <c r="B9" s="192" t="inlineStr">
        <is>
          <t>Advertising</t>
        </is>
      </c>
      <c r="F9" s="681" t="n"/>
      <c r="I9" s="682" t="n"/>
    </row>
    <row r="10" ht="16" customFormat="1" customHeight="1" s="189">
      <c r="B10" s="510" t="inlineStr">
        <is>
          <t>Most Recent 12 months</t>
        </is>
      </c>
      <c r="C10" s="510" t="inlineStr">
        <is>
          <t>Last 10K before LTM</t>
        </is>
      </c>
      <c r="D10" s="395" t="inlineStr">
        <is>
          <t>Years since last 10K</t>
        </is>
      </c>
      <c r="F10" s="681" t="n"/>
      <c r="I10" s="682" t="n"/>
    </row>
    <row r="11" ht="17" customFormat="1" customHeight="1" s="189" thickBot="1">
      <c r="A11" s="194" t="inlineStr">
        <is>
          <t>Revenues</t>
        </is>
      </c>
      <c r="B11" s="683" t="n">
        <v>10000000</v>
      </c>
      <c r="C11" s="684" t="n">
        <v>9000000</v>
      </c>
      <c r="D11" s="515" t="n">
        <v>1</v>
      </c>
      <c r="F11" s="685" t="n"/>
      <c r="G11" s="686" t="n"/>
      <c r="H11" s="686" t="n"/>
      <c r="I11" s="687" t="n"/>
    </row>
    <row r="12" ht="16" customFormat="1" customHeight="1" s="189">
      <c r="A12" s="194" t="inlineStr">
        <is>
          <t>Operating income or EBIT</t>
        </is>
      </c>
      <c r="B12" s="683" t="n">
        <v>1000000</v>
      </c>
      <c r="C12" s="684" t="n">
        <v>900000</v>
      </c>
      <c r="D12" s="688" t="n"/>
    </row>
    <row r="13" ht="16" customFormat="1" customHeight="1" s="189">
      <c r="A13" s="194" t="inlineStr">
        <is>
          <t>Interest expense</t>
        </is>
      </c>
      <c r="B13" s="683" t="n">
        <v>10000000</v>
      </c>
      <c r="C13" s="684" t="n">
        <v>9000000</v>
      </c>
      <c r="D13" s="688" t="n"/>
    </row>
    <row r="14" ht="16" customFormat="1" customHeight="1" s="189">
      <c r="A14" s="194" t="inlineStr">
        <is>
          <t>Book value of equity</t>
        </is>
      </c>
      <c r="B14" s="683" t="n">
        <v>10000000</v>
      </c>
      <c r="C14" s="684" t="n">
        <v>9000000</v>
      </c>
      <c r="D14" s="688" t="n"/>
    </row>
    <row r="15" ht="16" customFormat="1" customHeight="1" s="189">
      <c r="A15" s="194" t="inlineStr">
        <is>
          <t>Book value of debt</t>
        </is>
      </c>
      <c r="B15" s="683" t="n">
        <v>10000000</v>
      </c>
      <c r="C15" s="684" t="n">
        <v>9000000</v>
      </c>
      <c r="D15" s="689" t="n"/>
    </row>
    <row r="16" ht="16" customFormat="1" customHeight="1" s="189">
      <c r="A16" s="194" t="inlineStr">
        <is>
          <t>Do you have R&amp;D expenses to capitalize?</t>
        </is>
      </c>
      <c r="B16" s="690" t="inlineStr">
        <is>
          <t>No</t>
        </is>
      </c>
      <c r="C16" s="691" t="inlineStr">
        <is>
          <t xml:space="preserve">If you want to capitalize R&amp;D, you have to input the numbers into the R&amp;D worksheet. </t>
        </is>
      </c>
      <c r="D16" s="196" t="n"/>
    </row>
    <row r="17" ht="16" customFormat="1" customHeight="1" s="189">
      <c r="A17" s="194" t="inlineStr">
        <is>
          <t>Do you have operating lease commitments?</t>
        </is>
      </c>
      <c r="B17" s="690" t="inlineStr">
        <is>
          <t>No</t>
        </is>
      </c>
      <c r="C17" s="196" t="inlineStr">
        <is>
          <t>If you lease or other contractual commitments that have not been converteed to debt already, say yes to this option and do the conversion.</t>
        </is>
      </c>
      <c r="D17" s="196" t="n"/>
    </row>
    <row r="18" ht="16" customFormat="1" customHeight="1" s="189">
      <c r="A18" s="194" t="inlineStr">
        <is>
          <t>Cash and Marketable Securities</t>
        </is>
      </c>
      <c r="B18" s="683" t="n">
        <v>10000000</v>
      </c>
      <c r="C18" s="683" t="n">
        <v>9000000</v>
      </c>
      <c r="D18" s="196" t="n"/>
    </row>
    <row r="19" ht="16" customFormat="1" customHeight="1" s="189">
      <c r="A19" s="194" t="inlineStr">
        <is>
          <t>Cross holdings and other non-operating assets</t>
        </is>
      </c>
      <c r="B19" s="692" t="n">
        <v>0</v>
      </c>
      <c r="C19" s="683" t="n">
        <v>0</v>
      </c>
      <c r="D19" s="196" t="n"/>
    </row>
    <row r="20" ht="17" customFormat="1" customHeight="1" s="189" thickBot="1">
      <c r="A20" s="194" t="inlineStr">
        <is>
          <t>Minority interests</t>
        </is>
      </c>
      <c r="B20" s="692" t="n">
        <v>0</v>
      </c>
      <c r="C20" s="683" t="n">
        <v>0</v>
      </c>
      <c r="D20" s="196" t="n"/>
    </row>
    <row r="21" ht="16" customFormat="1" customHeight="1" s="189">
      <c r="A21" s="194" t="inlineStr">
        <is>
          <t>Number of shares outstanding =</t>
        </is>
      </c>
      <c r="B21" s="199" t="n">
        <v>10000000</v>
      </c>
      <c r="C21" s="196" t="n"/>
      <c r="E21" s="693" t="inlineStr">
        <is>
          <t>Computed numbers: Here is what your company's numbers look like, relative to industry.</t>
        </is>
      </c>
      <c r="F21" s="694" t="n"/>
      <c r="G21" s="694" t="n"/>
      <c r="H21" s="694" t="n"/>
      <c r="I21" s="694" t="n"/>
      <c r="J21" s="694" t="n"/>
      <c r="K21" s="694" t="n"/>
      <c r="L21" s="694" t="n"/>
      <c r="M21" s="694" t="n"/>
      <c r="N21" s="695" t="n"/>
    </row>
    <row r="22" ht="16" customFormat="1" customHeight="1" s="189">
      <c r="A22" s="194" t="inlineStr">
        <is>
          <t>Current stock price =</t>
        </is>
      </c>
      <c r="B22" s="683" t="n">
        <v>100</v>
      </c>
      <c r="C22" s="196" t="n"/>
      <c r="E22" s="406" t="inlineStr">
        <is>
          <t>If you are not working in US dollars, you should add the inflation differential to the industry averages.</t>
        </is>
      </c>
      <c r="N22" s="407" t="n"/>
    </row>
    <row r="23" ht="16" customFormat="1" customHeight="1" s="189">
      <c r="A23" s="189" t="inlineStr">
        <is>
          <t>Effective tax rate =</t>
        </is>
      </c>
      <c r="B23" s="200" t="n">
        <v>0.175</v>
      </c>
      <c r="C23" s="196" t="n"/>
      <c r="E23" s="408" t="n"/>
      <c r="J23" s="193" t="inlineStr">
        <is>
          <t>Industry (US)</t>
        </is>
      </c>
      <c r="K23" s="193" t="inlineStr">
        <is>
          <t>Industry (Global)</t>
        </is>
      </c>
      <c r="L23" s="510" t="inlineStr">
        <is>
          <t>Global Distribution Stats</t>
        </is>
      </c>
      <c r="M23" s="696" t="n"/>
      <c r="N23" s="697" t="n"/>
    </row>
    <row r="24" ht="16" customFormat="1" customHeight="1" s="189">
      <c r="A24" s="189" t="inlineStr">
        <is>
          <t>Marginal tax rate =</t>
        </is>
      </c>
      <c r="B24" s="200" t="n">
        <v>0.25</v>
      </c>
      <c r="C24" s="196" t="n"/>
      <c r="E24" s="408" t="n"/>
      <c r="I24" s="426" t="inlineStr">
        <is>
          <t>Company</t>
        </is>
      </c>
      <c r="J24" s="421" t="inlineStr">
        <is>
          <t>Average</t>
        </is>
      </c>
      <c r="K24" s="510" t="inlineStr">
        <is>
          <t>Average</t>
        </is>
      </c>
      <c r="L24" s="510" t="inlineStr">
        <is>
          <t>1st Quartile</t>
        </is>
      </c>
      <c r="M24" s="510" t="inlineStr">
        <is>
          <t>Median</t>
        </is>
      </c>
      <c r="N24" s="511" t="inlineStr">
        <is>
          <t>3rd Quartile</t>
        </is>
      </c>
    </row>
    <row r="25" ht="16" customFormat="1" customHeight="1" s="189">
      <c r="A25" s="190" t="inlineStr">
        <is>
          <t>The value drivers below:</t>
        </is>
      </c>
      <c r="B25" s="698" t="n"/>
      <c r="C25" s="196" t="n"/>
      <c r="E25" s="410" t="inlineStr">
        <is>
          <t>Revenue growth in the most recent year =</t>
        </is>
      </c>
      <c r="I25" s="427">
        <f>IF(C11&gt;0,(B11/C11)^(1/D11)-1, "NA")</f>
        <v/>
      </c>
      <c r="J25" s="422">
        <f>VLOOKUP(B8,'Industry Averages(US)'!A2:S95,3)</f>
        <v/>
      </c>
      <c r="K25" s="346">
        <f>VLOOKUP(B9,'Industry Averages (Global)'!A2:N95,3)</f>
        <v/>
      </c>
      <c r="L25" s="345">
        <f>VLOOKUP($B$9,'Input Stat Distributioons'!$A$3:$T$96,3,FALSE)</f>
        <v/>
      </c>
      <c r="M25" s="345">
        <f>VLOOKUP($B$9,'Input Stat Distributioons'!$A$3:$T$96,4,FALSE)</f>
        <v/>
      </c>
      <c r="N25" s="411">
        <f>VLOOKUP($B$9,'Input Stat Distributioons'!$A$3:$T$96,5,FALSE)</f>
        <v/>
      </c>
    </row>
    <row r="26" ht="16" customFormat="1" customHeight="1" s="189">
      <c r="A26" s="204" t="inlineStr">
        <is>
          <t xml:space="preserve">Revenue growth rate for next year </t>
        </is>
      </c>
      <c r="B26" s="205" t="n">
        <v>0.1</v>
      </c>
      <c r="C26" s="196" t="inlineStr">
        <is>
          <t>Growth Lever - Next year</t>
        </is>
      </c>
      <c r="E26" s="410" t="inlineStr">
        <is>
          <t>Pre-tax operating margin in the most recent year =</t>
        </is>
      </c>
      <c r="I26" s="427">
        <f>'Valuation output'!B4</f>
        <v/>
      </c>
      <c r="J26" s="423">
        <f>VLOOKUP(B8,'Industry Averages(US)'!A2:AA95,4)</f>
        <v/>
      </c>
      <c r="K26" s="346">
        <f>VLOOKUP(B9,'Industry Averages (Global)'!A2:N95,4)</f>
        <v/>
      </c>
      <c r="L26" s="346">
        <f>VLOOKUP($B$9,'Input Stat Distributioons'!$A$3:$T$96,6,FALSE)</f>
        <v/>
      </c>
      <c r="M26" s="346">
        <f>VLOOKUP($B$9,'Input Stat Distributioons'!$A$3:$T$96,7,FALSE)</f>
        <v/>
      </c>
      <c r="N26" s="412">
        <f>VLOOKUP($B$9,'Input Stat Distributioons'!$A$3:$T$96,8,FALSE)</f>
        <v/>
      </c>
    </row>
    <row r="27" ht="16" customFormat="1" customHeight="1" s="189">
      <c r="A27" s="204" t="inlineStr">
        <is>
          <t>Operating Margin for next year</t>
        </is>
      </c>
      <c r="B27" s="205" t="n">
        <v>0.1</v>
      </c>
      <c r="C27" s="196" t="inlineStr">
        <is>
          <t>Profitability Lever - Next year</t>
        </is>
      </c>
      <c r="E27" s="410" t="inlineStr">
        <is>
          <t>Sales to capital ratio in most recent year =</t>
        </is>
      </c>
      <c r="I27" s="428">
        <f>B11/'Valuation output'!B39</f>
        <v/>
      </c>
      <c r="J27" s="424">
        <f>VLOOKUP(B8,'Industry Averages(US)'!A2:S95,14)</f>
        <v/>
      </c>
      <c r="K27" s="347">
        <f>VLOOKUP(B9,'Industry Averages (Global)'!A2:N95,14)</f>
        <v/>
      </c>
      <c r="L27" s="347">
        <f>VLOOKUP($B$9,'Input Stat Distributioons'!$A$3:$T$96,9,FALSE)</f>
        <v/>
      </c>
      <c r="M27" s="347">
        <f>VLOOKUP($B$9,'Input Stat Distributioons'!$A$3:$T$96,10,FALSE)</f>
        <v/>
      </c>
      <c r="N27" s="413">
        <f>VLOOKUP($B$9,'Input Stat Distributioons'!$A$3:$T$96,11,FALSE)</f>
        <v/>
      </c>
    </row>
    <row r="28" ht="16" customFormat="1" customHeight="1" s="189">
      <c r="A28" s="194" t="inlineStr">
        <is>
          <t>Compounded annual revenue growth rate - years 2-5 =</t>
        </is>
      </c>
      <c r="B28" s="206" t="n">
        <v>0.1</v>
      </c>
      <c r="C28" s="196" t="inlineStr">
        <is>
          <t>Growth Lever - Long term</t>
        </is>
      </c>
      <c r="E28" s="410" t="inlineStr">
        <is>
          <t>Marginal sales to capital ratio  =</t>
        </is>
      </c>
      <c r="I28" s="428">
        <f>IF(('Input sheet'!B11-'Input sheet'!C11)/(('Input sheet'!B14+'Input sheet'!B15-'Input sheet'!B18)-('Input sheet'!C14+'Input sheet'!C15-'Input sheet'!C18))&gt;0,('Input sheet'!B11-'Input sheet'!C11)/(('Input sheet'!B14+'Input sheet'!B15-'Input sheet'!B18)-('Input sheet'!C14+'Input sheet'!C15-'Input sheet'!C18)),"NA")</f>
        <v/>
      </c>
      <c r="J28" s="425" t="n"/>
      <c r="K28" s="393" t="n"/>
      <c r="L28" s="213" t="n"/>
      <c r="M28" s="213" t="n"/>
      <c r="N28" s="414" t="n"/>
    </row>
    <row r="29" ht="16" customFormat="1" customHeight="1" s="189">
      <c r="A29" s="194" t="inlineStr">
        <is>
          <t>Target pre-tax operating margin =</t>
        </is>
      </c>
      <c r="B29" s="206" t="n">
        <v>0.1</v>
      </c>
      <c r="C29" s="196" t="inlineStr">
        <is>
          <t>Profitability Lever - Long term</t>
        </is>
      </c>
      <c r="E29" s="410" t="inlineStr">
        <is>
          <t>Return on invested capital in most recent year=</t>
        </is>
      </c>
      <c r="I29" s="429">
        <f>'Valuation output'!B7/'Valuation output'!B39</f>
        <v/>
      </c>
      <c r="J29" s="423">
        <f>VLOOKUP(B8,'Industry Averages(US)'!A2:S95,5)</f>
        <v/>
      </c>
      <c r="K29" s="346">
        <f>VLOOKUP(B9,'Industry Averages (Global)'!A2:N95,5)</f>
        <v/>
      </c>
      <c r="N29" s="415" t="n"/>
    </row>
    <row r="30" ht="16" customFormat="1" customHeight="1" s="189">
      <c r="A30" s="194" t="inlineStr">
        <is>
          <t>Year of convergence for margin</t>
        </is>
      </c>
      <c r="B30" s="207" t="n">
        <v>5</v>
      </c>
      <c r="C30" s="196" t="inlineStr">
        <is>
          <t>Speed of convergence level</t>
        </is>
      </c>
      <c r="E30" s="410" t="inlineStr">
        <is>
          <t>Standard deviation in stock prices =</t>
        </is>
      </c>
      <c r="I30" s="430" t="n"/>
      <c r="J30" s="423">
        <f>VLOOKUP(B8,'Industry Averages(US)'!A2:S95,10)</f>
        <v/>
      </c>
      <c r="K30" s="346">
        <f>VLOOKUP(B8,'Industry Averages (Global)'!A2:Z95,10)</f>
        <v/>
      </c>
      <c r="N30" s="415" t="n"/>
    </row>
    <row r="31" ht="17" customFormat="1" customHeight="1" s="189" thickBot="1">
      <c r="A31" s="194" t="inlineStr">
        <is>
          <t>Sales to capital ratio  (for years 1-5)</t>
        </is>
      </c>
      <c r="B31" s="207" t="n">
        <v>2</v>
      </c>
      <c r="C31" s="196" t="inlineStr">
        <is>
          <t>Efficency of Growth Lever (first 5 years)</t>
        </is>
      </c>
      <c r="E31" s="416" t="inlineStr">
        <is>
          <t>Cost of capital =</t>
        </is>
      </c>
      <c r="F31" s="417" t="n"/>
      <c r="G31" s="417" t="n"/>
      <c r="H31" s="417" t="n"/>
      <c r="I31" s="429">
        <f>B35</f>
        <v/>
      </c>
      <c r="J31" s="420">
        <f>VLOOKUP(B8,'Industry Averages(US)'!A2:S95,13)</f>
        <v/>
      </c>
      <c r="K31" s="418">
        <f>VLOOKUP(B8,'Industry Averages (Global)'!A2:Z95,13)</f>
        <v/>
      </c>
      <c r="L31" s="418">
        <f>VLOOKUP($B$9,'Input Stat Distributioons'!$A$3:$T$96,12,FALSE)</f>
        <v/>
      </c>
      <c r="M31" s="418">
        <f>VLOOKUP($B$9,'Input Stat Distributioons'!$A$3:$T$96,13,FALSE)</f>
        <v/>
      </c>
      <c r="N31" s="419">
        <f>VLOOKUP($B$9,'Input Stat Distributioons'!$A$3:$T$96,14,FALSE)</f>
        <v/>
      </c>
    </row>
    <row r="32" ht="17" customFormat="1" customHeight="1" s="189" thickBot="1">
      <c r="A32" s="194" t="inlineStr">
        <is>
          <t>Sales to capital ratio (for years 6-10)</t>
        </is>
      </c>
      <c r="B32" s="207" t="n">
        <v>2</v>
      </c>
      <c r="C32" s="196" t="inlineStr">
        <is>
          <t>Efficency of Growth Lever (years 6-10)</t>
        </is>
      </c>
    </row>
    <row r="33" ht="16" customFormat="1" customHeight="1" s="189">
      <c r="A33" s="190" t="inlineStr">
        <is>
          <t xml:space="preserve">Market numbers </t>
        </is>
      </c>
      <c r="B33" s="210" t="n"/>
      <c r="C33" s="196" t="n"/>
      <c r="E33" s="699" t="inlineStr">
        <is>
          <t>Valuation Output Feedback (for you to use to fine tune your inputs, if you want)</t>
        </is>
      </c>
      <c r="F33" s="679" t="n"/>
      <c r="G33" s="679" t="n"/>
      <c r="H33" s="679" t="n"/>
      <c r="I33" s="679" t="n"/>
      <c r="J33" s="680" t="n"/>
    </row>
    <row r="34" ht="16" customFormat="1" customHeight="1" s="189">
      <c r="A34" s="194" t="inlineStr">
        <is>
          <t>Riskfree rate</t>
        </is>
      </c>
      <c r="B34" s="206" t="n">
        <v>0.04</v>
      </c>
      <c r="C34" s="196" t="n"/>
      <c r="E34" s="202" t="inlineStr">
        <is>
          <t>Revenues in year 10, based on your revenue growth =</t>
        </is>
      </c>
      <c r="J34" s="700">
        <f>'Valuation output'!M3</f>
        <v/>
      </c>
    </row>
    <row r="35" ht="25" customFormat="1" customHeight="1" s="189">
      <c r="A35" s="339" t="inlineStr">
        <is>
          <t>Initial cost of capital =</t>
        </is>
      </c>
      <c r="B35" s="340">
        <f>'Cost of capital worksheet'!B13</f>
        <v/>
      </c>
      <c r="C35" s="701" t="inlineStr">
        <is>
          <t>Do not input. Go to cost of capital sheet.</t>
        </is>
      </c>
      <c r="D35" s="682" t="n"/>
      <c r="E35" s="202" t="inlineStr">
        <is>
          <t>Pre-tax Operating Income in year 10, based on your operating margin =</t>
        </is>
      </c>
      <c r="J35" s="700">
        <f>'Valuation output'!M5</f>
        <v/>
      </c>
    </row>
    <row r="36" ht="16" customFormat="1" customHeight="1" s="189">
      <c r="A36" s="190" t="inlineStr">
        <is>
          <t>Other inputs</t>
        </is>
      </c>
      <c r="B36" s="212" t="n"/>
      <c r="C36" s="212" t="n"/>
      <c r="D36" s="196" t="n"/>
      <c r="E36" s="202" t="inlineStr">
        <is>
          <t>Return on invested capital in year 10, based on your sales/capital ratio =</t>
        </is>
      </c>
      <c r="J36" s="203">
        <f>'Valuation output'!L40</f>
        <v/>
      </c>
    </row>
    <row r="37" ht="17" customFormat="1" customHeight="1" s="189" thickBot="1">
      <c r="A37" s="189" t="inlineStr">
        <is>
          <t>Do you have employee options outstanding?</t>
        </is>
      </c>
      <c r="B37" s="690" t="inlineStr">
        <is>
          <t>No</t>
        </is>
      </c>
      <c r="C37" s="187" t="n"/>
      <c r="D37" s="196" t="n"/>
      <c r="E37" s="320" t="inlineStr">
        <is>
          <t>Check the Diagnostics worksheet for more details.</t>
        </is>
      </c>
      <c r="F37" s="208" t="n"/>
      <c r="G37" s="208" t="n"/>
      <c r="H37" s="208" t="n"/>
      <c r="I37" s="208" t="n"/>
      <c r="J37" s="211" t="n"/>
    </row>
    <row r="38" ht="16" customFormat="1" customHeight="1" s="189">
      <c r="A38" s="189" t="inlineStr">
        <is>
          <t>Number of options outstanding =</t>
        </is>
      </c>
      <c r="B38" s="207" t="n">
        <v>7.72</v>
      </c>
      <c r="C38" s="213" t="n"/>
      <c r="D38" s="196" t="n"/>
    </row>
    <row r="39" ht="16" customFormat="1" customHeight="1" s="216">
      <c r="A39" s="189" t="inlineStr">
        <is>
          <t>Average strike price =</t>
        </is>
      </c>
      <c r="B39" s="702" t="n">
        <v>1.29</v>
      </c>
      <c r="C39" s="703" t="n"/>
      <c r="D39" s="196" t="n"/>
      <c r="E39" s="189" t="n"/>
      <c r="F39" s="189" t="n"/>
      <c r="G39" s="189" t="n"/>
      <c r="H39" s="189" t="n"/>
      <c r="I39" s="189" t="n"/>
      <c r="J39" s="189" t="n"/>
      <c r="K39" s="189" t="n"/>
      <c r="L39" s="189" t="n"/>
      <c r="M39" s="189" t="n"/>
      <c r="N39" s="189" t="n"/>
    </row>
    <row r="40" ht="16" customFormat="1" customHeight="1" s="189">
      <c r="A40" s="189" t="inlineStr">
        <is>
          <t>Average maturity =</t>
        </is>
      </c>
      <c r="B40" s="207" t="n">
        <v>7</v>
      </c>
      <c r="C40" s="213" t="n"/>
      <c r="D40" s="196" t="n"/>
    </row>
    <row r="41" ht="16" customFormat="1" customHeight="1" s="189">
      <c r="A41" s="189" t="inlineStr">
        <is>
          <t>Standard deviation on stock price =</t>
        </is>
      </c>
      <c r="B41" s="206" t="n">
        <v>0.45</v>
      </c>
      <c r="C41" s="196" t="n"/>
      <c r="E41" s="216" t="n"/>
      <c r="F41" s="216" t="n"/>
      <c r="G41" s="216" t="n"/>
    </row>
    <row r="42" ht="16" customFormat="1" customHeight="1" s="216">
      <c r="A42" s="189" t="n"/>
      <c r="B42" s="217" t="n"/>
      <c r="C42" s="212" t="n"/>
      <c r="D42" s="196" t="n"/>
      <c r="E42" s="189" t="n"/>
      <c r="F42" s="189" t="n"/>
      <c r="G42" s="189" t="n"/>
      <c r="H42" s="189" t="n"/>
      <c r="I42" s="189" t="n"/>
      <c r="J42" s="189" t="n"/>
      <c r="K42" s="189" t="n"/>
      <c r="L42" s="189" t="n"/>
      <c r="M42" s="189" t="n"/>
      <c r="N42" s="189" t="n"/>
    </row>
    <row r="43" ht="16" customFormat="1" customHeight="1" s="189">
      <c r="A43" s="501" t="inlineStr">
        <is>
          <t xml:space="preserve">Default assumptions. </t>
        </is>
      </c>
      <c r="C43" s="218" t="n"/>
      <c r="D43" s="196" t="n"/>
      <c r="N43" s="216" t="n"/>
    </row>
    <row r="44" ht="16" customFormat="1" customHeight="1" s="189">
      <c r="A44" s="216" t="inlineStr">
        <is>
          <t>In stable growth, I will assume that your firm will have a cost of capital similar to that of typical mature companies (riskfree rate + 4.5%)</t>
        </is>
      </c>
      <c r="B44" s="216" t="n"/>
      <c r="C44" s="219" t="n"/>
      <c r="D44" s="196" t="n"/>
      <c r="E44" s="216" t="n"/>
      <c r="F44" s="216" t="n"/>
      <c r="G44" s="216" t="n"/>
      <c r="H44" s="216" t="n"/>
      <c r="I44" s="216" t="n"/>
      <c r="J44" s="216" t="n"/>
      <c r="K44" s="216" t="n"/>
      <c r="L44" s="216" t="n"/>
      <c r="M44" s="216" t="n"/>
    </row>
    <row r="45" ht="16" customFormat="1" customHeight="1" s="189">
      <c r="A45" s="189" t="inlineStr">
        <is>
          <t>Do you want to override this assumption =</t>
        </is>
      </c>
      <c r="B45" s="704" t="inlineStr">
        <is>
          <t>No</t>
        </is>
      </c>
      <c r="C45" s="196" t="inlineStr">
        <is>
          <t>Mature companies generally see their risk levels approach the average</t>
        </is>
      </c>
    </row>
    <row r="46" ht="16" customFormat="1" customHeight="1" s="189">
      <c r="A46" s="189" t="inlineStr">
        <is>
          <t>If yes, enter the cost of capital after year 10 =</t>
        </is>
      </c>
      <c r="B46" s="206">
        <f>B35</f>
        <v/>
      </c>
      <c r="C46" s="196" t="inlineStr">
        <is>
          <t>Though some sectors, even in stable growth, may have higher risk. If you change your risk free rate after year 10 (see cell B57 &amp; 58), you should incorporate the change into your stable cost of capital estimate.</t>
        </is>
      </c>
      <c r="N46" s="216" t="n"/>
    </row>
    <row r="47" ht="16" customFormat="1" customHeight="1" s="189">
      <c r="A47" s="216" t="inlineStr">
        <is>
          <t>I will assume that your firm will earn a return on capital equal to its cost of capital after year 10. I am assuming that whatever competitive advantages you have today will fade over time.</t>
        </is>
      </c>
      <c r="B47" s="216" t="n"/>
      <c r="C47" s="196" t="n"/>
      <c r="D47" s="216" t="n"/>
      <c r="H47" s="216" t="n"/>
      <c r="I47" s="216" t="n"/>
      <c r="J47" s="216" t="n"/>
      <c r="K47" s="216" t="n"/>
      <c r="L47" s="216" t="n"/>
      <c r="M47" s="216" t="n"/>
    </row>
    <row r="48" ht="16" customFormat="1" customHeight="1" s="189">
      <c r="A48" s="189" t="inlineStr">
        <is>
          <t>Do you want to override this assumption =</t>
        </is>
      </c>
      <c r="B48" s="704" t="inlineStr">
        <is>
          <t>No</t>
        </is>
      </c>
      <c r="C48" s="196" t="inlineStr">
        <is>
          <t>Mature companies find it difficult to generate returns that exceed the cost of capital</t>
        </is>
      </c>
    </row>
    <row r="49" ht="16" customFormat="1" customHeight="1" s="189">
      <c r="A49" s="189" t="inlineStr">
        <is>
          <t>If yes, enter the return on capital you expect after year 10</t>
        </is>
      </c>
      <c r="B49" s="206" t="n">
        <v>0.15</v>
      </c>
      <c r="C49" s="196" t="inlineStr">
        <is>
          <t>But there are significant exceptions among companies with long-lasting competitive advantages.</t>
        </is>
      </c>
    </row>
    <row r="50" ht="16" customFormat="1" customHeight="1" s="189">
      <c r="A50" s="216" t="inlineStr">
        <is>
          <t>I will assume that your firm has no chance of failure over the foreseeable future.</t>
        </is>
      </c>
      <c r="C50" s="196" t="n"/>
    </row>
    <row r="51" ht="16" customFormat="1" customHeight="1" s="189">
      <c r="A51" s="189" t="inlineStr">
        <is>
          <t>Do you want to override this assumption =</t>
        </is>
      </c>
      <c r="B51" s="704" t="inlineStr">
        <is>
          <t>No</t>
        </is>
      </c>
      <c r="C51" s="196" t="inlineStr">
        <is>
          <t>Many young, growth companies fail, especially if they have trouble raising cash. Many distressed companies fail, because they have trouble making debt payments.</t>
        </is>
      </c>
    </row>
    <row r="52" ht="16" customFormat="1" customHeight="1" s="189">
      <c r="A52" s="189" t="inlineStr">
        <is>
          <t>If yes, enter the probability of failure =</t>
        </is>
      </c>
      <c r="B52" s="220" t="n">
        <v>0.12</v>
      </c>
      <c r="C52" s="196" t="inlineStr">
        <is>
          <t>Tough to estimate but a key input. Use the failure rate worksheet, if necessary.</t>
        </is>
      </c>
    </row>
    <row r="53" ht="16" customFormat="1" customHeight="1" s="189">
      <c r="A53" s="189" t="inlineStr">
        <is>
          <t>What do you want to tie your proceeds in failure to?</t>
        </is>
      </c>
      <c r="B53" s="220" t="inlineStr">
        <is>
          <t>V</t>
        </is>
      </c>
      <c r="C53" s="196" t="inlineStr">
        <is>
          <t>B: Book value of capital, V= Estimated fair value for the company</t>
        </is>
      </c>
    </row>
    <row r="54" ht="16" customFormat="1" customHeight="1" s="189">
      <c r="A54" s="189" t="inlineStr">
        <is>
          <t>Enter the distress proceeds as percentage of book or fair value</t>
        </is>
      </c>
      <c r="B54" s="220" t="n">
        <v>0.5</v>
      </c>
      <c r="C54" s="196" t="inlineStr">
        <is>
          <t>This can be zero, if the assets will be worth nothing if the firm fails.</t>
        </is>
      </c>
    </row>
    <row r="55" ht="16" customFormat="1" customHeight="1" s="189">
      <c r="A55" s="189" t="inlineStr">
        <is>
          <t>I assume that reinvestment in a year translates into growth in the next year, i.e., there is a one year lag between reinvesting and generating growth from that reinvestment.</t>
        </is>
      </c>
      <c r="B55" s="350" t="n"/>
      <c r="C55" s="196" t="n"/>
    </row>
    <row r="56" ht="16" customFormat="1" customHeight="1" s="189">
      <c r="A56" s="189" t="inlineStr">
        <is>
          <t>Do you want override this assumption =</t>
        </is>
      </c>
      <c r="B56" s="704" t="inlineStr">
        <is>
          <t>No</t>
        </is>
      </c>
      <c r="C56" s="196" t="n"/>
    </row>
    <row r="57" ht="16" customFormat="1" customHeight="1" s="189">
      <c r="A57" s="189" t="inlineStr">
        <is>
          <t>If yes, enter a different lag (0 = no lag to 3 = lag of 3 years)</t>
        </is>
      </c>
      <c r="B57" s="351" t="n">
        <v>1</v>
      </c>
      <c r="C57" s="196" t="n"/>
    </row>
    <row r="58" ht="16" customFormat="1" customHeight="1" s="189">
      <c r="A58" s="216" t="inlineStr">
        <is>
          <t>I will assume that your effective tax rate will adjust to your marginal tax rate by your terminal year. If you override this assumption, I will leave the tax rate at your effective tax rate.</t>
        </is>
      </c>
      <c r="B58" s="221" t="n"/>
      <c r="C58" s="196" t="n"/>
    </row>
    <row r="59" ht="16" customFormat="1" customHeight="1" s="189">
      <c r="A59" s="189" t="inlineStr">
        <is>
          <t>Do you want to override this assumption =</t>
        </is>
      </c>
      <c r="B59" s="690" t="inlineStr">
        <is>
          <t>No</t>
        </is>
      </c>
      <c r="C59" s="196" t="n"/>
    </row>
    <row r="60" ht="16" customFormat="1" customHeight="1" s="189">
      <c r="A60" s="216" t="inlineStr">
        <is>
          <t>I will assume that you have no losses carried forward from prior years ( NOL) coming into the valuation. If you have a money losing company, you may want to override tis.</t>
        </is>
      </c>
      <c r="C60" s="196" t="n"/>
    </row>
    <row r="61" ht="16" customFormat="1" customHeight="1" s="189">
      <c r="A61" s="189" t="inlineStr">
        <is>
          <t>Do you want to override this assumption =</t>
        </is>
      </c>
      <c r="B61" s="704" t="inlineStr">
        <is>
          <t>No</t>
        </is>
      </c>
      <c r="C61" s="196" t="inlineStr">
        <is>
          <t>Check the financial statements.</t>
        </is>
      </c>
    </row>
    <row r="62" ht="16" customFormat="1" customHeight="1" s="189">
      <c r="A62" s="189" t="inlineStr">
        <is>
          <t>If yes, enter the NOL that you are carrying over into year 1</t>
        </is>
      </c>
      <c r="B62" s="702">
        <f>474.8+256.6</f>
        <v/>
      </c>
      <c r="C62" s="196" t="inlineStr">
        <is>
          <t>An NOL will shield your income from taxes, even after you start making money.</t>
        </is>
      </c>
    </row>
    <row r="63" ht="16" customFormat="1" customHeight="1" s="189">
      <c r="A63" s="189" t="inlineStr">
        <is>
          <t>I will asssume that today's risk free rate will prevail in perpetuity. If you override this assumption, I will change the riskfree rate after year 10.</t>
        </is>
      </c>
      <c r="B63" s="705" t="n"/>
      <c r="C63" s="196" t="n"/>
    </row>
    <row r="64" ht="16" customFormat="1" customHeight="1" s="216">
      <c r="A64" s="189" t="inlineStr">
        <is>
          <t>Do you want to override this assumption =</t>
        </is>
      </c>
      <c r="B64" s="704" t="inlineStr">
        <is>
          <t>No</t>
        </is>
      </c>
      <c r="C64" s="196" t="inlineStr">
        <is>
          <t>If yes, you will be asked to enter a normal risk free rate and your growth in perpetuity will be adjusted accordingly.</t>
        </is>
      </c>
      <c r="D64" s="189" t="n"/>
      <c r="E64" s="189" t="n"/>
      <c r="F64" s="189" t="n"/>
      <c r="G64" s="189" t="n"/>
      <c r="H64" s="189" t="n"/>
      <c r="I64" s="189" t="n"/>
      <c r="J64" s="189" t="n"/>
      <c r="K64" s="189" t="n"/>
      <c r="L64" s="189" t="n"/>
      <c r="M64" s="189" t="n"/>
      <c r="N64" s="189" t="n"/>
    </row>
    <row r="65" ht="16" customFormat="1" customHeight="1" s="189">
      <c r="A65" s="189" t="inlineStr">
        <is>
          <t>If yes, enter the riskfree rate after year 10</t>
        </is>
      </c>
      <c r="B65" s="223" t="n">
        <v>0.02</v>
      </c>
      <c r="C65" s="196" t="inlineStr">
        <is>
          <t>Enter your estimate of what the riskfree rate (in your currency of choice) will be after year 10</t>
        </is>
      </c>
    </row>
    <row r="66" ht="16" customFormat="1" customHeight="1" s="189">
      <c r="A66" s="189" t="inlineStr">
        <is>
          <t>I will assume that the growth rate in perpetuity will be equal to the risk free rate. This allows for both valuation consistency and prevents "impossible" growth rates.</t>
        </is>
      </c>
      <c r="B66" s="703" t="n"/>
      <c r="C66" s="196" t="n"/>
      <c r="E66" s="216" t="n"/>
      <c r="F66" s="216" t="n"/>
      <c r="G66" s="216" t="n"/>
      <c r="H66" s="216" t="n"/>
      <c r="I66" s="216" t="n"/>
      <c r="J66" s="216" t="n"/>
      <c r="K66" s="216" t="n"/>
      <c r="L66" s="216" t="n"/>
      <c r="M66" s="216" t="n"/>
      <c r="N66" s="216" t="n"/>
    </row>
    <row r="67" ht="16" customFormat="1" customHeight="1" s="189">
      <c r="A67" s="189" t="inlineStr">
        <is>
          <t>Do you want to override this assumption =</t>
        </is>
      </c>
      <c r="B67" s="704" t="inlineStr">
        <is>
          <t>No</t>
        </is>
      </c>
      <c r="C67" s="196" t="inlineStr">
        <is>
          <t>This is an option to let you use a negative growth rate in perpetuity or to even liquidate the firm.</t>
        </is>
      </c>
    </row>
    <row r="68" ht="16" customFormat="1" customHeight="1" s="189">
      <c r="A68" s="189" t="inlineStr">
        <is>
          <t>If yes, enter the growth rate in perpetuity</t>
        </is>
      </c>
      <c r="B68" s="223" t="n">
        <v>-0.05</v>
      </c>
      <c r="C68" s="196" t="inlineStr">
        <is>
          <t>This can be negative, if you feel the company will decline (and disappear) after growth is done. If you let it exceed the risk free rate, you are on your own in uncharted territory.</t>
        </is>
      </c>
    </row>
    <row r="69" ht="16" customFormat="1" customHeight="1" s="189">
      <c r="A69" s="216" t="inlineStr">
        <is>
          <t>I have assumed that none of the cash is trapped (in foreign countries) and that there is no additional tax liability coming due and that cash is a neutral asset.</t>
        </is>
      </c>
      <c r="B69" s="216" t="n"/>
      <c r="C69" s="216" t="n"/>
      <c r="D69" s="216" t="n"/>
    </row>
    <row r="70" ht="16" customFormat="1" customHeight="1" s="189">
      <c r="A70" s="189" t="inlineStr">
        <is>
          <t>Do you want to override this assumption</t>
        </is>
      </c>
      <c r="B70" s="704" t="inlineStr">
        <is>
          <t>No</t>
        </is>
      </c>
    </row>
    <row r="71" ht="16" customFormat="1" customHeight="1" s="189">
      <c r="A71" s="189" t="inlineStr">
        <is>
          <t>If yes, enter trapped cash (if taxes) or entire balance (if mistrust)</t>
        </is>
      </c>
      <c r="B71" s="706" t="n">
        <v>140000</v>
      </c>
      <c r="C71" s="196" t="inlineStr">
        <is>
          <t>Cash that is trapped in foreign markets (and subject to additoinal tax) or cash that is being discounted by the market (because of management mistrust)</t>
        </is>
      </c>
    </row>
    <row r="72" ht="16" customFormat="1" customHeight="1" s="189">
      <c r="A72" s="194" t="inlineStr">
        <is>
          <t>&amp; Average tax rate of the foreign markets where the cash is trapped</t>
        </is>
      </c>
      <c r="B72" s="220" t="n">
        <v>0.15</v>
      </c>
      <c r="C72" s="196" t="inlineStr">
        <is>
          <t>Additional tax rate due on trapped cash or discount being applied to cash balance because of mistrust.</t>
        </is>
      </c>
    </row>
    <row r="73" ht="16" customHeight="1">
      <c r="A73" s="77" t="n"/>
      <c r="E73" s="189" t="n"/>
      <c r="F73" s="189" t="n"/>
      <c r="G73" s="189" t="n"/>
      <c r="H73" s="189" t="n"/>
      <c r="I73" s="189" t="n"/>
      <c r="J73" s="189" t="n"/>
      <c r="K73" s="189" t="n"/>
      <c r="L73" s="189" t="n"/>
      <c r="M73" s="189" t="n"/>
      <c r="N73" s="189" t="n"/>
    </row>
    <row r="74" ht="16" customHeight="1">
      <c r="E74" s="189" t="n"/>
      <c r="F74" s="189" t="n"/>
      <c r="G74" s="189" t="n"/>
      <c r="H74" s="189" t="n"/>
      <c r="I74" s="189" t="n"/>
      <c r="J74" s="189" t="n"/>
      <c r="K74" s="189" t="n"/>
      <c r="L74" s="189" t="n"/>
      <c r="M74" s="189" t="n"/>
      <c r="N74" s="189" t="n"/>
    </row>
  </sheetData>
  <mergeCells count="8">
    <mergeCell ref="A5:J5"/>
    <mergeCell ref="E33:J33"/>
    <mergeCell ref="A43:B43"/>
    <mergeCell ref="L23:N23"/>
    <mergeCell ref="E21:N21"/>
    <mergeCell ref="F7:I11"/>
    <mergeCell ref="D11:D15"/>
    <mergeCell ref="C35:D35"/>
  </mergeCells>
  <dataValidations count="2">
    <dataValidation sqref="B23"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hyperlinks>
    <hyperlink xmlns:r="http://schemas.openxmlformats.org/officeDocument/2006/relationships" ref="F7" display="If you want a guide through this spreadsheet, try this YouTube video that takes you through each input cell: https://youtu.be/kyKfJ_7-mdg?si=FIeHhnLH2_2brag3 " r:id="rId1"/>
  </hyperlinks>
  <pageMargins left="0.75" right="0.75" top="1" bottom="1" header="0.5" footer="0.5"/>
  <pageSetup orientation="portrait" horizontalDpi="4294967292" verticalDpi="4294967292"/>
  <drawing xmlns:r="http://schemas.openxmlformats.org/officeDocument/2006/relationships" r:id="rId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G39" sqref="G39"/>
    </sheetView>
  </sheetViews>
  <sheetFormatPr baseColWidth="10" defaultRowHeight="16"/>
  <cols>
    <col width="23" bestFit="1" customWidth="1" style="31" min="1" max="1"/>
    <col width="16.6640625" customWidth="1" style="31" min="2" max="2"/>
    <col width="15.83203125" bestFit="1" customWidth="1" style="34" min="3" max="13"/>
    <col width="12.664062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707">
        <f>'Input sheet'!B11</f>
        <v/>
      </c>
      <c r="C3" s="708">
        <f>B3*(1+C2)</f>
        <v/>
      </c>
      <c r="D3" s="708">
        <f>C3*(1+D2)</f>
        <v/>
      </c>
      <c r="E3" s="708">
        <f>D3*(1+E2)</f>
        <v/>
      </c>
      <c r="F3" s="708">
        <f>E3*(1+F2)</f>
        <v/>
      </c>
      <c r="G3" s="708">
        <f>F3*(1+G2)</f>
        <v/>
      </c>
      <c r="H3" s="708">
        <f>G3*(1+H2)</f>
        <v/>
      </c>
      <c r="I3" s="708">
        <f>H3*(1+I2)</f>
        <v/>
      </c>
      <c r="J3" s="708">
        <f>I3*(1+J2)</f>
        <v/>
      </c>
      <c r="K3" s="708">
        <f>J3*(1+K2)</f>
        <v/>
      </c>
      <c r="L3" s="708">
        <f>K3*(1+L2)</f>
        <v/>
      </c>
      <c r="M3" s="709">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707">
        <f>IF('Input sheet'!B17="Yes",IF('Input sheet'!B16="Yes",'Input sheet'!B12+'Operating lease converter'!F32+'R&amp; D converter'!D39,'Input sheet'!B12+'Operating lease converter'!F32),IF('Input sheet'!B16="Yes",'Input sheet'!B12+'R&amp; D converter'!D39,'Input sheet'!B12))</f>
        <v/>
      </c>
      <c r="C5" s="708">
        <f>C4*C3</f>
        <v/>
      </c>
      <c r="D5" s="708">
        <f>D4*D3</f>
        <v/>
      </c>
      <c r="E5" s="708">
        <f>E4*E3</f>
        <v/>
      </c>
      <c r="F5" s="708">
        <f>F4*F3</f>
        <v/>
      </c>
      <c r="G5" s="708">
        <f>G4*G3</f>
        <v/>
      </c>
      <c r="H5" s="708">
        <f>H4*H3</f>
        <v/>
      </c>
      <c r="I5" s="708">
        <f>I4*I3</f>
        <v/>
      </c>
      <c r="J5" s="708">
        <f>J4*J3</f>
        <v/>
      </c>
      <c r="K5" s="708">
        <f>K4*K3</f>
        <v/>
      </c>
      <c r="L5" s="708">
        <f>L4*L3</f>
        <v/>
      </c>
      <c r="M5" s="709">
        <f>M4*M3</f>
        <v/>
      </c>
      <c r="N5" s="710">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707">
        <f>IF(B5&gt;0,B5*(1-B6),B5)</f>
        <v/>
      </c>
      <c r="C7" s="708">
        <f>IF(C5&gt;0,IF(C5&lt;B10,C5,C5-(C5-B10)*C6),C5)</f>
        <v/>
      </c>
      <c r="D7" s="708">
        <f>IF(D5&gt;0,IF(D5&lt;C10,D5,D5-(D5-C10)*D6),D5)</f>
        <v/>
      </c>
      <c r="E7" s="708">
        <f>IF(E5&gt;0,IF(E5&lt;D10,E5,E5-(E5-D10)*E6),E5)</f>
        <v/>
      </c>
      <c r="F7" s="708">
        <f>IF(F5&gt;0,IF(F5&lt;E10,F5,F5-(F5-E10)*F6),F5)</f>
        <v/>
      </c>
      <c r="G7" s="708">
        <f>IF(G5&gt;0,IF(G5&lt;F10,G5,G5-(G5-F10)*G6),G5)</f>
        <v/>
      </c>
      <c r="H7" s="708">
        <f>IF(H5&gt;0,IF(H5&lt;G10,H5,H5-(H5-G10)*H6),H5)</f>
        <v/>
      </c>
      <c r="I7" s="708">
        <f>IF(I5&gt;0,IF(I5&lt;H10,I5,I5-(I5-H10)*I6),I5)</f>
        <v/>
      </c>
      <c r="J7" s="708">
        <f>IF(J5&gt;0,IF(J5&lt;I10,J5,J5-(J5-I10)*J6),J5)</f>
        <v/>
      </c>
      <c r="K7" s="708">
        <f>IF(K5&gt;0,IF(K5&lt;J10,K5,K5-(K5-J10)*K6),K5)</f>
        <v/>
      </c>
      <c r="L7" s="708">
        <f>IF(L5&gt;0,IF(L5&lt;K10,L5,L5-(L5-K10)*L6),L5)</f>
        <v/>
      </c>
      <c r="M7" s="708">
        <f>M5*(1-M6)</f>
        <v/>
      </c>
    </row>
    <row r="8" ht="15" customHeight="1">
      <c r="A8" s="31" t="inlineStr">
        <is>
          <t xml:space="preserve"> - Reinvestment</t>
        </is>
      </c>
      <c r="B8" s="707" t="n"/>
      <c r="C8" s="708">
        <f>IF('Input sheet'!$B$56="No",(D3-C3)/C38,IF('Input sheet'!$B$57=0,(C3-B3)/C38,IF('Input sheet'!$B$57=2,(E3-D3)/C38,IF('Input sheet'!$B$57=3,(F3-E3)/C38,(D3-C3)/C38))))</f>
        <v/>
      </c>
      <c r="D8" s="708">
        <f>IF('Input sheet'!$B$56="No",(E3-D3)/D38,IF('Input sheet'!$B$57=0,(D3-C3)/D38,IF('Input sheet'!$B$57=2,(F3-E3)/D38,IF('Input sheet'!$B$57=3,(G3-F3)/D38,(E3-D3)/D38))))</f>
        <v/>
      </c>
      <c r="E8" s="708">
        <f>IF('Input sheet'!$B$56="No",(F3-E3)/E38,IF('Input sheet'!$B$57=0,(E3-D3)/E38,IF('Input sheet'!$B$57=2,(G3-F3)/E38,IF('Input sheet'!$B$57=3,(H3-G3)/E38,(F3-E3)/E38))))</f>
        <v/>
      </c>
      <c r="F8" s="708">
        <f>IF('Input sheet'!$B$56="No",(G3-F3)/F38,IF('Input sheet'!$B$57=0,(F3-E3)/F38,IF('Input sheet'!$B$57=2,(H3-G3)/F38,IF('Input sheet'!$B$57=3,(I3-H3)/F38,(G3-F3)/F38))))</f>
        <v/>
      </c>
      <c r="G8" s="708">
        <f>IF('Input sheet'!$B$56="No",(H3-G3)/G38,IF('Input sheet'!$B$57=0,(G3-F3)/G38,IF('Input sheet'!$B$57=2,(I3-H3)/G38,IF('Input sheet'!$B$57=3,(J3-I3)/G38,(H3-G3)/G38))))</f>
        <v/>
      </c>
      <c r="H8" s="708">
        <f>IF('Input sheet'!$B$56="No",(I3-H3)/H38,IF('Input sheet'!$B$57=0,(H3-G3)/H38,IF('Input sheet'!$B$57=2,(J3-I3)/H38,IF('Input sheet'!$B$57=3,(K3-J3)/H38,(I3-H3)/H38))))</f>
        <v/>
      </c>
      <c r="I8" s="708">
        <f>IF('Input sheet'!$B$56="No",(J3-I3)/I38,IF('Input sheet'!$B$57=0,(I3-H3)/I38,IF('Input sheet'!$B$57=2,(K3-J3)/I38,IF('Input sheet'!$B$57=3,(L3-K3)/I38,(J3-I3)/I38))))</f>
        <v/>
      </c>
      <c r="J8" s="708">
        <f>IF('Input sheet'!$B$56="No",(K3-J3)/J38,IF('Input sheet'!$B$57=0,(J3-I3)/J38,IF('Input sheet'!$B$57=2,(L3-K3)/J38,IF('Input sheet'!$B$57=3,(M3-L3)/J38,(K3-J3)/J38))))</f>
        <v/>
      </c>
      <c r="K8" s="708">
        <f>IF('Input sheet'!$B$56="No",(L3-K3)/K38,IF('Input sheet'!$B$57=0,(K3-J3)/K38,IF('Input sheet'!$B$57=2,L3*L2/K38,IF('Input sheet'!$B$57=3,M3*M2/K38,(L3-K3)/K38))))</f>
        <v/>
      </c>
      <c r="L8" s="708">
        <f>IF('Input sheet'!$B$56="No",(M3-L3)/L38,IF('Input sheet'!$B$57=0,(L3-K3)/L38,IF('Input sheet'!$B$57=2,M3*M2/L38,IF('Input sheet'!$B$57=3,K8*(1+M2),(M3-L3)/L38))))</f>
        <v/>
      </c>
      <c r="M8" s="711">
        <f>IF(M2&gt;0,(M2/M40)*M7,0)</f>
        <v/>
      </c>
      <c r="N8" s="710">
        <f>SUM(C8:M8)</f>
        <v/>
      </c>
    </row>
    <row r="9" ht="15" customHeight="1">
      <c r="A9" s="31" t="inlineStr">
        <is>
          <t>FCFF</t>
        </is>
      </c>
      <c r="B9" s="707" t="n"/>
      <c r="C9" s="708">
        <f>C7-C8</f>
        <v/>
      </c>
      <c r="D9" s="708">
        <f>D7-D8</f>
        <v/>
      </c>
      <c r="E9" s="708">
        <f>E7-E8</f>
        <v/>
      </c>
      <c r="F9" s="708">
        <f>F7-F8</f>
        <v/>
      </c>
      <c r="G9" s="708">
        <f>G7-G8</f>
        <v/>
      </c>
      <c r="H9" s="708">
        <f>H7-H8</f>
        <v/>
      </c>
      <c r="I9" s="708">
        <f>I7-I8</f>
        <v/>
      </c>
      <c r="J9" s="708">
        <f>J7-J8</f>
        <v/>
      </c>
      <c r="K9" s="708">
        <f>K7-K8</f>
        <v/>
      </c>
      <c r="L9" s="708">
        <f>L7-L8</f>
        <v/>
      </c>
      <c r="M9" s="711">
        <f>M7-M8</f>
        <v/>
      </c>
    </row>
    <row r="10" ht="15" customHeight="1">
      <c r="A10" s="31" t="inlineStr">
        <is>
          <t>NOL</t>
        </is>
      </c>
      <c r="B10" s="707">
        <f>IF('Input sheet'!B61="Yes",'Input sheet'!B62,0)</f>
        <v/>
      </c>
      <c r="C10" s="708">
        <f>IF(C5&lt;0,B10-C5,IF(B10&gt;C5,B10-C5,0))</f>
        <v/>
      </c>
      <c r="D10" s="708">
        <f>IF(D5&lt;0,C10-D5,IF(C10&gt;D5,C10-D5,0))</f>
        <v/>
      </c>
      <c r="E10" s="708">
        <f>IF(E5&lt;0,D10-E5,IF(D10&gt;E5,D10-E5,0))</f>
        <v/>
      </c>
      <c r="F10" s="708">
        <f>IF(F5&lt;0,E10-F5,IF(E10&gt;F5,E10-F5,0))</f>
        <v/>
      </c>
      <c r="G10" s="708">
        <f>IF(G5&lt;0,F10-G5,IF(F10&gt;G5,F10-G5,0))</f>
        <v/>
      </c>
      <c r="H10" s="708">
        <f>IF(H5&lt;0,G10-H5,IF(G10&gt;H5,G10-H5,0))</f>
        <v/>
      </c>
      <c r="I10" s="708">
        <f>IF(I5&lt;0,H10-I5,IF(H10&gt;I5,H10-I5,0))</f>
        <v/>
      </c>
      <c r="J10" s="708">
        <f>IF(J5&lt;0,I10-J5,IF(I10&gt;J5,I10-J5,0))</f>
        <v/>
      </c>
      <c r="K10" s="708">
        <f>IF(K5&lt;0,J10-K5,IF(J10&gt;K5,J10-K5,0))</f>
        <v/>
      </c>
      <c r="L10" s="708">
        <f>IF(L5&lt;0,K10-L5,IF(K10&gt;L5,K10-L5,0))</f>
        <v/>
      </c>
      <c r="M10" s="708">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712">
        <f>1/(1+C12)</f>
        <v/>
      </c>
      <c r="D13" s="712">
        <f>C13*(1/(1+D12))</f>
        <v/>
      </c>
      <c r="E13" s="712">
        <f>D13*(1/(1+E12))</f>
        <v/>
      </c>
      <c r="F13" s="712">
        <f>E13*(1/(1+F12))</f>
        <v/>
      </c>
      <c r="G13" s="712">
        <f>F13*(1/(1+G12))</f>
        <v/>
      </c>
      <c r="H13" s="712">
        <f>G13*(1/(1+H12))</f>
        <v/>
      </c>
      <c r="I13" s="712">
        <f>H13*(1/(1+I12))</f>
        <v/>
      </c>
      <c r="J13" s="712">
        <f>I13*(1/(1+J12))</f>
        <v/>
      </c>
      <c r="K13" s="712">
        <f>J13*(1/(1+K12))</f>
        <v/>
      </c>
      <c r="L13" s="712">
        <f>K13*(1/(1+L12))</f>
        <v/>
      </c>
      <c r="M13" s="49" t="n"/>
    </row>
    <row r="14" ht="15" customHeight="1">
      <c r="A14" s="31" t="inlineStr">
        <is>
          <t>PV(FCFF)</t>
        </is>
      </c>
      <c r="B14" s="40" t="n"/>
      <c r="C14" s="708">
        <f>C9*C13</f>
        <v/>
      </c>
      <c r="D14" s="708">
        <f>D9*D13</f>
        <v/>
      </c>
      <c r="E14" s="708">
        <f>E9*E13</f>
        <v/>
      </c>
      <c r="F14" s="708">
        <f>F9*F13</f>
        <v/>
      </c>
      <c r="G14" s="708">
        <f>G9*G13</f>
        <v/>
      </c>
      <c r="H14" s="708">
        <f>H9*H13</f>
        <v/>
      </c>
      <c r="I14" s="708">
        <f>I9*I13</f>
        <v/>
      </c>
      <c r="J14" s="708">
        <f>J9*J13</f>
        <v/>
      </c>
      <c r="K14" s="708">
        <f>K9*K13</f>
        <v/>
      </c>
      <c r="L14" s="708">
        <f>L9*L13</f>
        <v/>
      </c>
      <c r="M14" s="49" t="n"/>
    </row>
    <row r="15" ht="15" customHeight="1"/>
    <row r="16" ht="15" customHeight="1">
      <c r="A16" s="30" t="inlineStr">
        <is>
          <t>Terminal cash flow</t>
        </is>
      </c>
      <c r="B16" s="707">
        <f>M9</f>
        <v/>
      </c>
    </row>
    <row r="17" ht="15" customHeight="1">
      <c r="A17" s="30" t="inlineStr">
        <is>
          <t>Terminal cost of capital</t>
        </is>
      </c>
      <c r="B17" s="45">
        <f>M12</f>
        <v/>
      </c>
      <c r="D17" s="713" t="n"/>
    </row>
    <row r="18">
      <c r="A18" s="30" t="inlineStr">
        <is>
          <t>Terminal value</t>
        </is>
      </c>
      <c r="B18" s="707">
        <f>B16/(B17-M2)</f>
        <v/>
      </c>
      <c r="D18" s="714" t="n"/>
      <c r="M18" s="713" t="n"/>
    </row>
    <row r="19">
      <c r="A19" s="30" t="inlineStr">
        <is>
          <t>PV(Terminal value)</t>
        </is>
      </c>
      <c r="B19" s="715">
        <f>B18*L13</f>
        <v/>
      </c>
      <c r="D19" s="713" t="n"/>
    </row>
    <row r="20">
      <c r="A20" s="30" t="inlineStr">
        <is>
          <t>PV (CF over next 10 years)</t>
        </is>
      </c>
      <c r="B20" s="715">
        <f>SUM(C14:L14)</f>
        <v/>
      </c>
    </row>
    <row r="21">
      <c r="A21" s="30" t="inlineStr">
        <is>
          <t>Sum of PV</t>
        </is>
      </c>
      <c r="B21" s="715">
        <f>B19+B20</f>
        <v/>
      </c>
    </row>
    <row r="22">
      <c r="A22" s="30" t="inlineStr">
        <is>
          <t>Probability of failure =</t>
        </is>
      </c>
      <c r="B22" s="51">
        <f>IF('Input sheet'!B51="Yes",'Input sheet'!B52,0)</f>
        <v/>
      </c>
      <c r="E22" s="713" t="n"/>
    </row>
    <row r="23">
      <c r="A23" s="30" t="inlineStr">
        <is>
          <t>Proceeds if firm fails =</t>
        </is>
      </c>
      <c r="B23" s="716">
        <f>IF('Input sheet'!B53="B",('Input sheet'!B14+'Input sheet'!B15)*'Input sheet'!B54,'Valuation output'!B21*'Input sheet'!B54)</f>
        <v/>
      </c>
    </row>
    <row r="24">
      <c r="A24" s="30" t="inlineStr">
        <is>
          <t>Value of operating assets =</t>
        </is>
      </c>
      <c r="B24" s="707">
        <f>B21*(1-B22)+B23*B22</f>
        <v/>
      </c>
    </row>
    <row r="25">
      <c r="A25" s="30" t="inlineStr">
        <is>
          <t xml:space="preserve"> - Debt</t>
        </is>
      </c>
      <c r="B25" s="707">
        <f>IF('Input sheet'!B17="Yes",'Input sheet'!B15+'Operating lease converter'!C28,'Input sheet'!B15)</f>
        <v/>
      </c>
    </row>
    <row r="26">
      <c r="A26" s="30" t="inlineStr">
        <is>
          <t xml:space="preserve"> - Minority interests</t>
        </is>
      </c>
      <c r="B26" s="707">
        <f>'Input sheet'!B20</f>
        <v/>
      </c>
    </row>
    <row r="27" ht="16" customHeight="1">
      <c r="A27" s="30" t="inlineStr">
        <is>
          <t xml:space="preserve"> +  Cash</t>
        </is>
      </c>
      <c r="B27" s="707">
        <f>IF('Input sheet'!B70="YES",'Input sheet'!B18-'Input sheet'!B71*('Input sheet'!B24-'Input sheet'!B72),'Input sheet'!B18)</f>
        <v/>
      </c>
      <c r="D27" s="525" t="inlineStr">
        <is>
          <t>If you get Value Errors all over, it is usually because your option worksheet has gone haywire. The fix is very low tech. Go into the option value worksheet, and in cell B17 of that worksheet (adjusted S), enter any number (say 5) and then undo what you did. Voila!</t>
        </is>
      </c>
    </row>
    <row r="28">
      <c r="A28" s="30" t="inlineStr">
        <is>
          <t xml:space="preserve"> + Non-operating assets</t>
        </is>
      </c>
      <c r="B28" s="707">
        <f>'Input sheet'!B19</f>
        <v/>
      </c>
    </row>
    <row r="29">
      <c r="A29" s="30" t="inlineStr">
        <is>
          <t>Value of equity</t>
        </is>
      </c>
      <c r="B29" s="715">
        <f>B24-B25-B26+B27+B28</f>
        <v/>
      </c>
    </row>
    <row r="30">
      <c r="A30" s="30" t="inlineStr">
        <is>
          <t xml:space="preserve"> - Value of options</t>
        </is>
      </c>
      <c r="B30" s="717">
        <f>IF('Input sheet'!B37="No",0,'Option value'!B29)</f>
        <v/>
      </c>
    </row>
    <row r="31">
      <c r="A31" s="30" t="inlineStr">
        <is>
          <t>Value of equity in common stock</t>
        </is>
      </c>
      <c r="B31" s="715">
        <f>B29-B30</f>
        <v/>
      </c>
    </row>
    <row r="32">
      <c r="A32" s="30" t="inlineStr">
        <is>
          <t>Number of shares</t>
        </is>
      </c>
      <c r="B32" s="54">
        <f>'Input sheet'!B21</f>
        <v/>
      </c>
    </row>
    <row r="33">
      <c r="A33" s="30" t="inlineStr">
        <is>
          <t>Estimated value /share</t>
        </is>
      </c>
      <c r="B33" s="718">
        <f>B31/B32</f>
        <v/>
      </c>
    </row>
    <row r="34">
      <c r="A34" s="30" t="inlineStr">
        <is>
          <t>Price</t>
        </is>
      </c>
      <c r="B34" s="707">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F38</f>
        <v/>
      </c>
      <c r="H38" s="56">
        <f>'Input sheet'!B32</f>
        <v/>
      </c>
      <c r="I38" s="56">
        <f>H38</f>
        <v/>
      </c>
      <c r="J38" s="56">
        <f>I38</f>
        <v/>
      </c>
      <c r="K38" s="56">
        <f>J38</f>
        <v/>
      </c>
      <c r="L38" s="56">
        <f>K38</f>
        <v/>
      </c>
      <c r="M38" s="49" t="n"/>
    </row>
    <row r="39">
      <c r="A39" s="30" t="inlineStr">
        <is>
          <t>Invested capital</t>
        </is>
      </c>
      <c r="B39" s="719">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720">
        <f>B39+C8</f>
        <v/>
      </c>
      <c r="D39" s="720">
        <f>C39+D8</f>
        <v/>
      </c>
      <c r="E39" s="720">
        <f>D39+E8</f>
        <v/>
      </c>
      <c r="F39" s="720">
        <f>E39+F8</f>
        <v/>
      </c>
      <c r="G39" s="720">
        <f>F39+G8</f>
        <v/>
      </c>
      <c r="H39" s="720">
        <f>G39+H8</f>
        <v/>
      </c>
      <c r="I39" s="720">
        <f>H39+I8</f>
        <v/>
      </c>
      <c r="J39" s="720">
        <f>I39+J8</f>
        <v/>
      </c>
      <c r="K39" s="720">
        <f>J39+K8</f>
        <v/>
      </c>
      <c r="L39" s="720">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mergeCells count="1">
    <mergeCell ref="D27:F32"/>
  </mergeCells>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E36" sqref="E36"/>
    </sheetView>
  </sheetViews>
  <sheetFormatPr baseColWidth="10" defaultRowHeight="16"/>
  <cols>
    <col width="20.33203125" customWidth="1" style="130" min="1" max="1"/>
    <col width="19.5" customWidth="1" style="130" min="2" max="2"/>
    <col width="17.6640625" customWidth="1" style="130" min="3" max="3"/>
    <col width="16.5" customWidth="1" style="130" min="4" max="4"/>
    <col width="19.1640625" customWidth="1" style="130" min="5" max="5"/>
    <col width="24.6640625" customWidth="1" style="132" min="6" max="6"/>
    <col width="37.33203125" customWidth="1" style="130" min="7" max="7"/>
    <col width="17" customWidth="1" min="8" max="8"/>
    <col width="12.5" bestFit="1" customWidth="1" min="13" max="13"/>
  </cols>
  <sheetData>
    <row r="1">
      <c r="A1" s="721">
        <f>'Input sheet'!B4</f>
        <v/>
      </c>
      <c r="B1" s="696" t="n"/>
      <c r="C1" s="696" t="n"/>
      <c r="D1" s="696" t="n"/>
      <c r="E1" s="696" t="n"/>
      <c r="F1" s="697" t="n"/>
      <c r="G1" s="149">
        <f>'Input sheet'!B3</f>
        <v/>
      </c>
    </row>
    <row r="2">
      <c r="A2" s="577" t="inlineStr">
        <is>
          <t>The Disruption Platform Rolls on</t>
        </is>
      </c>
      <c r="B2" s="696" t="n"/>
      <c r="C2" s="696" t="n"/>
      <c r="D2" s="696" t="n"/>
      <c r="E2" s="696" t="n"/>
      <c r="F2" s="696" t="n"/>
      <c r="G2" s="697" t="n"/>
    </row>
    <row r="3" ht="16" customHeight="1">
      <c r="A3" s="722" t="inlineStr">
        <is>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is>
      </c>
      <c r="B3" s="723" t="n"/>
      <c r="C3" s="723" t="n"/>
      <c r="D3" s="723" t="n"/>
      <c r="E3" s="723" t="n"/>
      <c r="F3" s="723" t="n"/>
      <c r="G3" s="724" t="n"/>
      <c r="H3" s="725" t="inlineStr">
        <is>
          <t>Tell your story about the company. Keep it focuses on the company's businesses and tie it into the three key levers of value: cash flows, growth and risk</t>
        </is>
      </c>
      <c r="I3" s="723" t="n"/>
      <c r="J3" s="723" t="n"/>
      <c r="K3" s="724" t="n"/>
    </row>
    <row r="4" ht="16" customHeight="1">
      <c r="A4" s="726" t="n"/>
      <c r="G4" s="727" t="n"/>
      <c r="H4" s="726" t="n"/>
      <c r="K4" s="727" t="n"/>
    </row>
    <row r="5" ht="12" customHeight="1">
      <c r="A5" s="726" t="n"/>
      <c r="G5" s="727" t="n"/>
      <c r="H5" s="726" t="n"/>
      <c r="K5" s="727" t="n"/>
    </row>
    <row r="6" ht="17" customHeight="1">
      <c r="A6" s="728" t="n"/>
      <c r="B6" s="729" t="n"/>
      <c r="C6" s="729" t="n"/>
      <c r="D6" s="729" t="n"/>
      <c r="E6" s="729" t="n"/>
      <c r="F6" s="729" t="n"/>
      <c r="G6" s="730" t="n"/>
      <c r="H6" s="728" t="n"/>
      <c r="I6" s="729" t="n"/>
      <c r="J6" s="729" t="n"/>
      <c r="K6" s="730" t="n"/>
    </row>
    <row r="7">
      <c r="A7" s="731" t="inlineStr">
        <is>
          <t>The Assumptions</t>
        </is>
      </c>
      <c r="B7" s="696" t="n"/>
      <c r="C7" s="696" t="n"/>
      <c r="D7" s="696" t="n"/>
      <c r="E7" s="696" t="n"/>
      <c r="F7" s="696" t="n"/>
      <c r="G7" s="697" t="n"/>
    </row>
    <row r="8">
      <c r="A8" s="115" t="n"/>
      <c r="B8" s="112" t="inlineStr">
        <is>
          <t>Base year</t>
        </is>
      </c>
      <c r="C8" s="170" t="inlineStr">
        <is>
          <t>Next year</t>
        </is>
      </c>
      <c r="D8" s="113" t="inlineStr">
        <is>
          <t>Years 2-5</t>
        </is>
      </c>
      <c r="E8" s="112" t="inlineStr">
        <is>
          <t>Years 6-10</t>
        </is>
      </c>
      <c r="F8" s="112" t="inlineStr">
        <is>
          <t>After year 10</t>
        </is>
      </c>
      <c r="G8" s="114" t="inlineStr">
        <is>
          <t>Link to story</t>
        </is>
      </c>
    </row>
    <row r="9">
      <c r="A9" s="116" t="inlineStr">
        <is>
          <t>Revenues (a)</t>
        </is>
      </c>
      <c r="B9" s="732">
        <f>'Valuation output'!B3</f>
        <v/>
      </c>
      <c r="C9" s="733">
        <f>'Input sheet'!B26</f>
        <v/>
      </c>
      <c r="D9" s="152">
        <f>'Input sheet'!B28</f>
        <v/>
      </c>
      <c r="E9" s="152" t="inlineStr">
        <is>
          <t>Changes to</t>
        </is>
      </c>
      <c r="F9" s="117">
        <f>'Valuation output'!M2</f>
        <v/>
      </c>
      <c r="G9" s="239" t="inlineStr">
        <is>
          <t>Disruption platform in multiple businesses</t>
        </is>
      </c>
      <c r="H9" s="734" t="inlineStr">
        <is>
          <t>Tie each assumption to the part of your story that relates to it.</t>
        </is>
      </c>
      <c r="I9" s="723" t="n"/>
      <c r="J9" s="723" t="n"/>
      <c r="K9" s="724" t="n"/>
    </row>
    <row r="10" ht="34" customHeight="1">
      <c r="A10" s="116" t="inlineStr">
        <is>
          <t>Operating margin (b)</t>
        </is>
      </c>
      <c r="B10" s="117">
        <f>'Valuation output'!B4</f>
        <v/>
      </c>
      <c r="C10" s="733">
        <f>'Input sheet'!B27</f>
        <v/>
      </c>
      <c r="D10" s="153" t="inlineStr">
        <is>
          <t>Moves to</t>
        </is>
      </c>
      <c r="E10" s="154">
        <f>'Valuation output'!G4</f>
        <v/>
      </c>
      <c r="F10" s="117">
        <f>'Valuation output'!M4</f>
        <v/>
      </c>
      <c r="G10" s="240" t="inlineStr">
        <is>
          <t>Margins improve, aided by cloud business &amp; continued economies of scale.</t>
        </is>
      </c>
      <c r="H10" s="726" t="n"/>
      <c r="K10" s="727" t="n"/>
    </row>
    <row r="11">
      <c r="A11" s="116" t="inlineStr">
        <is>
          <t>Tax rate</t>
        </is>
      </c>
      <c r="B11" s="117">
        <f>'Valuation output'!B6</f>
        <v/>
      </c>
      <c r="C11" s="172" t="n"/>
      <c r="D11" s="152">
        <f>B11</f>
        <v/>
      </c>
      <c r="E11" s="152" t="inlineStr">
        <is>
          <t>Changes to</t>
        </is>
      </c>
      <c r="F11" s="117">
        <f>'Valuation output'!M6</f>
        <v/>
      </c>
      <c r="G11" s="241" t="inlineStr">
        <is>
          <t>Global/US marginal tax rate over time</t>
        </is>
      </c>
      <c r="H11" s="726" t="n"/>
      <c r="K11" s="727" t="n"/>
    </row>
    <row r="12">
      <c r="A12" s="116" t="inlineStr">
        <is>
          <t>Sales to Capital  (c )</t>
        </is>
      </c>
      <c r="B12" s="118" t="n"/>
      <c r="C12" s="173">
        <f>'Input sheet'!B31</f>
        <v/>
      </c>
      <c r="D12" s="151">
        <f>'Input sheet'!B31</f>
        <v/>
      </c>
      <c r="E12" s="150">
        <f>'Input sheet'!B32</f>
        <v/>
      </c>
      <c r="F12" s="119">
        <f>'Valuation output'!M2/'Valuation output'!M40</f>
        <v/>
      </c>
      <c r="G12" s="241" t="inlineStr">
        <is>
          <t>Maintained at Amazon's current level</t>
        </is>
      </c>
      <c r="H12" s="726" t="n"/>
      <c r="K12" s="727" t="n"/>
    </row>
    <row r="13">
      <c r="A13" s="133" t="inlineStr">
        <is>
          <t>Return on capital</t>
        </is>
      </c>
      <c r="B13" s="135">
        <f>'Valuation output'!B40</f>
        <v/>
      </c>
      <c r="C13" s="117" t="inlineStr">
        <is>
          <t>Marginal ROIC =</t>
        </is>
      </c>
      <c r="D13" s="735">
        <f>Diagnostics!C27</f>
        <v/>
      </c>
      <c r="E13" s="697" t="n"/>
      <c r="F13" s="134">
        <f>'Valuation output'!M40</f>
        <v/>
      </c>
      <c r="G13" s="242" t="inlineStr">
        <is>
          <t>Strong competitive edges</t>
        </is>
      </c>
      <c r="H13" s="726" t="n"/>
      <c r="K13" s="727" t="n"/>
    </row>
    <row r="14" ht="17" customHeight="1" thickBot="1">
      <c r="A14" s="120" t="inlineStr">
        <is>
          <t>Cost of capital (d)</t>
        </is>
      </c>
      <c r="B14" s="136" t="n"/>
      <c r="C14" s="118" t="n"/>
      <c r="D14" s="153">
        <f>'Valuation output'!C12</f>
        <v/>
      </c>
      <c r="E14" s="154" t="n"/>
      <c r="F14" s="121">
        <f>'Valuation output'!M12</f>
        <v/>
      </c>
      <c r="G14" s="243" t="inlineStr">
        <is>
          <t>Cost of capital close to median company</t>
        </is>
      </c>
      <c r="H14" s="728" t="n"/>
      <c r="I14" s="729" t="n"/>
      <c r="J14" s="729" t="n"/>
      <c r="K14" s="730" t="n"/>
    </row>
    <row r="15" ht="17" customHeight="1" thickBot="1">
      <c r="A15" s="581" t="inlineStr">
        <is>
          <t>The Cash Flows</t>
        </is>
      </c>
      <c r="G15" s="727" t="n"/>
    </row>
    <row r="16">
      <c r="A16" s="111" t="n"/>
      <c r="B16" s="159" t="inlineStr">
        <is>
          <t>Revenues</t>
        </is>
      </c>
      <c r="C16" s="159" t="inlineStr">
        <is>
          <t>Operating Margin</t>
        </is>
      </c>
      <c r="D16" s="160" t="inlineStr">
        <is>
          <t>EBIT</t>
        </is>
      </c>
      <c r="E16" s="160" t="inlineStr">
        <is>
          <t>EBIT (1-t)</t>
        </is>
      </c>
      <c r="F16" s="160" t="inlineStr">
        <is>
          <t xml:space="preserve">Reinvestment </t>
        </is>
      </c>
      <c r="G16" s="161" t="inlineStr">
        <is>
          <t>FCFF</t>
        </is>
      </c>
      <c r="H16" s="736"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23" t="n"/>
      <c r="J16" s="723" t="n"/>
      <c r="K16" s="724" t="n"/>
    </row>
    <row r="17">
      <c r="A17" s="122" t="n">
        <v>1</v>
      </c>
      <c r="B17" s="732">
        <f>'Valuation output'!C3</f>
        <v/>
      </c>
      <c r="C17" s="123">
        <f>'Valuation output'!C4</f>
        <v/>
      </c>
      <c r="D17" s="732">
        <f>B17*C17</f>
        <v/>
      </c>
      <c r="E17" s="732">
        <f>'Valuation output'!C7</f>
        <v/>
      </c>
      <c r="F17" s="732">
        <f>'Valuation output'!C8</f>
        <v/>
      </c>
      <c r="G17" s="737">
        <f>E17-F17</f>
        <v/>
      </c>
      <c r="H17" s="726" t="n"/>
      <c r="K17" s="727" t="n"/>
    </row>
    <row r="18">
      <c r="A18" s="122" t="n">
        <v>2</v>
      </c>
      <c r="B18" s="732">
        <f>'Valuation output'!D3</f>
        <v/>
      </c>
      <c r="C18" s="123">
        <f>'Valuation output'!D4</f>
        <v/>
      </c>
      <c r="D18" s="732">
        <f>B18*C18</f>
        <v/>
      </c>
      <c r="E18" s="732">
        <f>'Valuation output'!D7</f>
        <v/>
      </c>
      <c r="F18" s="732">
        <f>'Valuation output'!D8</f>
        <v/>
      </c>
      <c r="G18" s="737">
        <f>E18-F18</f>
        <v/>
      </c>
      <c r="H18" s="726" t="n"/>
      <c r="K18" s="727" t="n"/>
    </row>
    <row r="19">
      <c r="A19" s="122" t="n">
        <v>3</v>
      </c>
      <c r="B19" s="732">
        <f>'Valuation output'!E3</f>
        <v/>
      </c>
      <c r="C19" s="123">
        <f>'Valuation output'!E4</f>
        <v/>
      </c>
      <c r="D19" s="732">
        <f>B19*C19</f>
        <v/>
      </c>
      <c r="E19" s="732">
        <f>'Valuation output'!E7</f>
        <v/>
      </c>
      <c r="F19" s="732">
        <f>'Valuation output'!E8</f>
        <v/>
      </c>
      <c r="G19" s="737">
        <f>E19-F19</f>
        <v/>
      </c>
      <c r="H19" s="726" t="n"/>
      <c r="K19" s="727" t="n"/>
    </row>
    <row r="20">
      <c r="A20" s="122" t="n">
        <v>4</v>
      </c>
      <c r="B20" s="732">
        <f>'Valuation output'!F3</f>
        <v/>
      </c>
      <c r="C20" s="123">
        <f>'Valuation output'!F4</f>
        <v/>
      </c>
      <c r="D20" s="732">
        <f>B20*C20</f>
        <v/>
      </c>
      <c r="E20" s="732">
        <f>'Valuation output'!F7</f>
        <v/>
      </c>
      <c r="F20" s="732">
        <f>'Valuation output'!F8</f>
        <v/>
      </c>
      <c r="G20" s="737">
        <f>E20-F20</f>
        <v/>
      </c>
      <c r="H20" s="726" t="n"/>
      <c r="K20" s="727" t="n"/>
    </row>
    <row r="21">
      <c r="A21" s="122" t="n">
        <v>5</v>
      </c>
      <c r="B21" s="732">
        <f>'Valuation output'!G3</f>
        <v/>
      </c>
      <c r="C21" s="123">
        <f>'Valuation output'!G4</f>
        <v/>
      </c>
      <c r="D21" s="732">
        <f>B21*C21</f>
        <v/>
      </c>
      <c r="E21" s="732">
        <f>'Valuation output'!G7</f>
        <v/>
      </c>
      <c r="F21" s="732">
        <f>'Valuation output'!G8</f>
        <v/>
      </c>
      <c r="G21" s="737">
        <f>E21-F21</f>
        <v/>
      </c>
      <c r="H21" s="726" t="n"/>
      <c r="K21" s="727" t="n"/>
    </row>
    <row r="22">
      <c r="A22" s="122" t="n">
        <v>6</v>
      </c>
      <c r="B22" s="732">
        <f>'Valuation output'!H3</f>
        <v/>
      </c>
      <c r="C22" s="123">
        <f>'Valuation output'!H4</f>
        <v/>
      </c>
      <c r="D22" s="732">
        <f>B22*C22</f>
        <v/>
      </c>
      <c r="E22" s="732">
        <f>'Valuation output'!H7</f>
        <v/>
      </c>
      <c r="F22" s="732">
        <f>'Valuation output'!H8</f>
        <v/>
      </c>
      <c r="G22" s="737">
        <f>E22-F22</f>
        <v/>
      </c>
      <c r="H22" s="726" t="n"/>
      <c r="K22" s="727" t="n"/>
    </row>
    <row r="23">
      <c r="A23" s="122" t="n">
        <v>7</v>
      </c>
      <c r="B23" s="732">
        <f>'Valuation output'!I3</f>
        <v/>
      </c>
      <c r="C23" s="123">
        <f>'Valuation output'!I4</f>
        <v/>
      </c>
      <c r="D23" s="732">
        <f>B23*C23</f>
        <v/>
      </c>
      <c r="E23" s="732">
        <f>'Valuation output'!I7</f>
        <v/>
      </c>
      <c r="F23" s="732">
        <f>'Valuation output'!I8</f>
        <v/>
      </c>
      <c r="G23" s="737">
        <f>E23-F23</f>
        <v/>
      </c>
      <c r="H23" s="726" t="n"/>
      <c r="K23" s="727" t="n"/>
    </row>
    <row r="24">
      <c r="A24" s="122" t="n">
        <v>8</v>
      </c>
      <c r="B24" s="732">
        <f>'Valuation output'!J3</f>
        <v/>
      </c>
      <c r="C24" s="123">
        <f>'Valuation output'!J4</f>
        <v/>
      </c>
      <c r="D24" s="732">
        <f>B24*C24</f>
        <v/>
      </c>
      <c r="E24" s="732">
        <f>'Valuation output'!J7</f>
        <v/>
      </c>
      <c r="F24" s="732">
        <f>'Valuation output'!J8</f>
        <v/>
      </c>
      <c r="G24" s="737">
        <f>E24-F24</f>
        <v/>
      </c>
      <c r="H24" s="726" t="n"/>
      <c r="K24" s="727" t="n"/>
    </row>
    <row r="25">
      <c r="A25" s="122" t="n">
        <v>9</v>
      </c>
      <c r="B25" s="732">
        <f>'Valuation output'!K3</f>
        <v/>
      </c>
      <c r="C25" s="123">
        <f>'Valuation output'!K4</f>
        <v/>
      </c>
      <c r="D25" s="732">
        <f>B25*C25</f>
        <v/>
      </c>
      <c r="E25" s="732">
        <f>'Valuation output'!K7</f>
        <v/>
      </c>
      <c r="F25" s="732">
        <f>'Valuation output'!K8</f>
        <v/>
      </c>
      <c r="G25" s="737">
        <f>E25-F25</f>
        <v/>
      </c>
      <c r="H25" s="726" t="n"/>
      <c r="K25" s="727" t="n"/>
    </row>
    <row r="26">
      <c r="A26" s="122" t="n">
        <v>10</v>
      </c>
      <c r="B26" s="732">
        <f>'Valuation output'!L3</f>
        <v/>
      </c>
      <c r="C26" s="123">
        <f>'Valuation output'!L4</f>
        <v/>
      </c>
      <c r="D26" s="732">
        <f>B26*C26</f>
        <v/>
      </c>
      <c r="E26" s="732">
        <f>'Valuation output'!L7</f>
        <v/>
      </c>
      <c r="F26" s="732">
        <f>'Valuation output'!L8</f>
        <v/>
      </c>
      <c r="G26" s="737">
        <f>E26-F26</f>
        <v/>
      </c>
      <c r="H26" s="726" t="n"/>
      <c r="K26" s="727" t="n"/>
    </row>
    <row r="27" ht="17" customHeight="1" thickBot="1">
      <c r="A27" s="124" t="inlineStr">
        <is>
          <t>Terminal year</t>
        </is>
      </c>
      <c r="B27" s="738">
        <f>'Valuation output'!M3</f>
        <v/>
      </c>
      <c r="C27" s="125">
        <f>'Valuation output'!M4</f>
        <v/>
      </c>
      <c r="D27" s="732">
        <f>B27*C27</f>
        <v/>
      </c>
      <c r="E27" s="738">
        <f>'Valuation output'!M7</f>
        <v/>
      </c>
      <c r="F27" s="738">
        <f>'Valuation output'!M8</f>
        <v/>
      </c>
      <c r="G27" s="737">
        <f>E27-F27</f>
        <v/>
      </c>
      <c r="H27" s="728" t="n"/>
      <c r="I27" s="729" t="n"/>
      <c r="J27" s="729" t="n"/>
      <c r="K27" s="730" t="n"/>
    </row>
    <row r="28" ht="17" customHeight="1" thickBot="1">
      <c r="A28" s="581" t="inlineStr">
        <is>
          <t>The Value</t>
        </is>
      </c>
      <c r="G28" s="727" t="n"/>
    </row>
    <row r="29">
      <c r="A29" s="535" t="inlineStr">
        <is>
          <t>Terminal value</t>
        </is>
      </c>
      <c r="B29" s="739" t="n"/>
      <c r="C29" s="739" t="n"/>
      <c r="D29" s="740">
        <f>'Valuation output'!B18</f>
        <v/>
      </c>
      <c r="E29" s="741" t="n"/>
      <c r="F29" s="127" t="n"/>
      <c r="G29" s="128" t="n"/>
      <c r="H29" s="573"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526" t="inlineStr">
        <is>
          <t>PV(Terminal value)</t>
        </is>
      </c>
      <c r="B30" s="696" t="n"/>
      <c r="C30" s="696" t="n"/>
      <c r="D30" s="740">
        <f>'Valuation output'!B19</f>
        <v/>
      </c>
      <c r="E30" s="742" t="n"/>
      <c r="F30" s="130" t="n"/>
      <c r="G30" s="131" t="n"/>
      <c r="H30" s="681" t="n"/>
    </row>
    <row r="31">
      <c r="A31" s="526" t="inlineStr">
        <is>
          <t>PV (CF over next 10 years)</t>
        </is>
      </c>
      <c r="B31" s="696" t="n"/>
      <c r="C31" s="696" t="n"/>
      <c r="D31" s="740">
        <f>'Valuation output'!B20</f>
        <v/>
      </c>
      <c r="E31" s="742" t="n"/>
      <c r="F31" s="130" t="n"/>
      <c r="G31" s="131" t="n"/>
      <c r="H31" s="681" t="n"/>
    </row>
    <row r="32">
      <c r="A32" s="526" t="inlineStr">
        <is>
          <t>Value of operating assets =</t>
        </is>
      </c>
      <c r="B32" s="696" t="n"/>
      <c r="C32" s="696" t="n"/>
      <c r="D32" s="740">
        <f>'Valuation output'!B21</f>
        <v/>
      </c>
      <c r="E32" s="742" t="n"/>
      <c r="F32" s="130" t="n"/>
      <c r="G32" s="131" t="n"/>
      <c r="H32" s="681" t="n"/>
    </row>
    <row r="33">
      <c r="A33" s="526" t="inlineStr">
        <is>
          <t>Adjustment for distress</t>
        </is>
      </c>
      <c r="B33" s="696" t="n"/>
      <c r="C33" s="696" t="n"/>
      <c r="D33" s="740">
        <f>D32-'Valuation output'!B24</f>
        <v/>
      </c>
      <c r="E33" s="743" t="inlineStr">
        <is>
          <t>Probability of failure =</t>
        </is>
      </c>
      <c r="F33" s="696" t="n"/>
      <c r="G33" s="382">
        <f>'Valuation output'!B22</f>
        <v/>
      </c>
      <c r="H33" s="681" t="n"/>
    </row>
    <row r="34">
      <c r="A34" s="526" t="inlineStr">
        <is>
          <t xml:space="preserve"> - Debt &amp; Minority Interests</t>
        </is>
      </c>
      <c r="B34" s="696" t="n"/>
      <c r="C34" s="696" t="n"/>
      <c r="D34" s="740">
        <f>'Valuation output'!B25+'Valuation output'!B26</f>
        <v/>
      </c>
      <c r="E34" s="742" t="n"/>
      <c r="F34" s="130" t="n"/>
      <c r="G34" s="131" t="n"/>
      <c r="H34" s="681" t="n"/>
    </row>
    <row r="35">
      <c r="A35" s="526" t="inlineStr">
        <is>
          <t xml:space="preserve"> + Cash &amp; Other Non-operating assets</t>
        </is>
      </c>
      <c r="B35" s="696" t="n"/>
      <c r="C35" s="696" t="n"/>
      <c r="D35" s="740">
        <f>'Valuation output'!B27+'Valuation output'!B28</f>
        <v/>
      </c>
      <c r="E35" s="742" t="n"/>
      <c r="F35" s="130" t="n"/>
      <c r="G35" s="131" t="n"/>
      <c r="H35" s="681" t="n"/>
    </row>
    <row r="36">
      <c r="A36" s="526" t="inlineStr">
        <is>
          <t>Value of equity</t>
        </is>
      </c>
      <c r="B36" s="696" t="n"/>
      <c r="C36" s="696" t="n"/>
      <c r="D36" s="740">
        <f>D32-D33-D34+D35</f>
        <v/>
      </c>
      <c r="E36" s="742" t="n"/>
      <c r="F36" s="130" t="n"/>
      <c r="G36" s="131" t="n"/>
      <c r="H36" s="681" t="n"/>
    </row>
    <row r="37">
      <c r="A37" s="526" t="inlineStr">
        <is>
          <t xml:space="preserve"> - Value of equity options</t>
        </is>
      </c>
      <c r="B37" s="696" t="n"/>
      <c r="C37" s="696" t="n"/>
      <c r="D37" s="740">
        <f>'Valuation output'!B30</f>
        <v/>
      </c>
      <c r="E37" s="742" t="n"/>
      <c r="F37" s="130" t="n"/>
      <c r="G37" s="131" t="n"/>
      <c r="H37" s="681" t="n"/>
    </row>
    <row r="38" ht="17" customHeight="1" thickBot="1">
      <c r="A38" s="529" t="inlineStr">
        <is>
          <t>Number of shares</t>
        </is>
      </c>
      <c r="B38" s="696" t="n"/>
      <c r="C38" s="697" t="n"/>
      <c r="D38" s="432">
        <f>'Valuation output'!B32</f>
        <v/>
      </c>
      <c r="G38" s="131" t="n"/>
      <c r="H38" s="681" t="n"/>
    </row>
    <row r="39" ht="17" customHeight="1" thickBot="1">
      <c r="A39" s="582" t="inlineStr">
        <is>
          <t>Value per share</t>
        </is>
      </c>
      <c r="B39" s="744" t="n"/>
      <c r="C39" s="745" t="n"/>
      <c r="D39" s="740">
        <f>(D36-D37)/D38</f>
        <v/>
      </c>
      <c r="E39" s="528" t="inlineStr">
        <is>
          <t>Stock was trading at =</t>
        </is>
      </c>
      <c r="F39" s="746" t="n"/>
      <c r="G39" s="747">
        <f>'Input sheet'!B22</f>
        <v/>
      </c>
      <c r="H39" s="681" t="n"/>
      <c r="M39" s="148" t="n"/>
    </row>
    <row r="40">
      <c r="M40" s="748" t="n"/>
    </row>
  </sheetData>
  <mergeCells count="24">
    <mergeCell ref="A37:C37"/>
    <mergeCell ref="H16:K27"/>
    <mergeCell ref="E33:F33"/>
    <mergeCell ref="E39:F39"/>
    <mergeCell ref="A28:G28"/>
    <mergeCell ref="A33:C33"/>
    <mergeCell ref="H9:K14"/>
    <mergeCell ref="A32:C32"/>
    <mergeCell ref="D13:E13"/>
    <mergeCell ref="A3:G6"/>
    <mergeCell ref="A15:G15"/>
    <mergeCell ref="A35:C35"/>
    <mergeCell ref="A29:C29"/>
    <mergeCell ref="A38:C38"/>
    <mergeCell ref="A31:C31"/>
    <mergeCell ref="A30:C30"/>
    <mergeCell ref="A7:G7"/>
    <mergeCell ref="A39:C39"/>
    <mergeCell ref="A34:C34"/>
    <mergeCell ref="H3:K6"/>
    <mergeCell ref="A36:C36"/>
    <mergeCell ref="A1:F1"/>
    <mergeCell ref="H29:K39"/>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I47" sqref="I47"/>
    </sheetView>
  </sheetViews>
  <sheetFormatPr baseColWidth="10" defaultRowHeight="14"/>
  <cols>
    <col width="27.83203125" customWidth="1" style="297" min="1" max="1"/>
    <col width="13" customWidth="1" style="297" min="2" max="2"/>
    <col width="10.83203125" customWidth="1" style="297" min="3" max="3"/>
    <col width="16.1640625" customWidth="1" style="297" min="4" max="4"/>
    <col width="12.6640625" bestFit="1" customWidth="1" style="297" min="5" max="5"/>
    <col width="11.5" bestFit="1" customWidth="1" style="297" min="6" max="10"/>
    <col width="13" bestFit="1" customWidth="1" style="297" min="11" max="13"/>
    <col width="13.6640625" bestFit="1" customWidth="1" style="297" min="14" max="14"/>
    <col width="16" customWidth="1" style="297" min="15" max="15"/>
    <col width="10.83203125" customWidth="1" style="297" min="16" max="16"/>
  </cols>
  <sheetData>
    <row r="1" customFormat="1" s="2">
      <c r="A1" s="296" t="inlineStr">
        <is>
          <t>You can modify this picture and bring in relevant details to back up your cost of capital and other details that you think flesh out your company's valuation story.</t>
        </is>
      </c>
      <c r="B1" s="296" t="n"/>
      <c r="C1" s="296" t="n"/>
      <c r="D1" s="296" t="n"/>
      <c r="E1" s="296" t="n"/>
      <c r="F1" s="296" t="n"/>
      <c r="G1" s="296" t="n"/>
      <c r="H1" s="296" t="n"/>
      <c r="I1" s="296" t="n"/>
      <c r="J1" s="296" t="n"/>
      <c r="K1" s="296" t="n"/>
      <c r="L1" s="296" t="n"/>
      <c r="M1" s="296" t="n"/>
      <c r="N1" s="296" t="n"/>
      <c r="O1" s="296" t="n"/>
      <c r="P1" s="296" t="n"/>
    </row>
    <row r="2" ht="15" customFormat="1" customHeight="1" s="2" thickBot="1">
      <c r="A2" s="296" t="n"/>
      <c r="B2" s="296" t="n"/>
      <c r="C2" s="296" t="n"/>
      <c r="D2" s="296" t="n"/>
      <c r="E2" s="296" t="n"/>
      <c r="F2" s="296" t="n"/>
      <c r="G2" s="296" t="n"/>
      <c r="H2" s="296" t="n"/>
      <c r="I2" s="296" t="n"/>
      <c r="J2" s="296" t="n"/>
      <c r="K2" s="296" t="n"/>
      <c r="L2" s="296" t="n"/>
      <c r="M2" s="296" t="n"/>
      <c r="N2" s="296" t="n"/>
      <c r="O2" s="296" t="n"/>
      <c r="P2" s="296" t="n"/>
    </row>
    <row r="3" ht="17" customHeight="1" thickBot="1">
      <c r="A3" s="749">
        <f>'Input sheet'!B4</f>
        <v/>
      </c>
      <c r="B3" s="750" t="n"/>
      <c r="C3" s="750" t="n"/>
      <c r="D3" s="750" t="n"/>
      <c r="E3" s="750" t="n"/>
      <c r="F3" s="750" t="n"/>
      <c r="G3" s="750" t="n"/>
      <c r="H3" s="750" t="n"/>
      <c r="I3" s="750" t="n"/>
      <c r="J3" s="750" t="n"/>
      <c r="K3" s="750" t="n"/>
      <c r="L3" s="750" t="n"/>
      <c r="M3" s="750" t="n"/>
      <c r="N3" s="751" t="n"/>
      <c r="O3" s="752">
        <f>'Input sheet'!B3</f>
        <v/>
      </c>
      <c r="P3" s="753" t="n"/>
    </row>
    <row r="4" ht="15" customHeight="1" thickBot="1">
      <c r="A4" s="434" t="n"/>
      <c r="P4" s="435" t="n"/>
    </row>
    <row r="5" ht="15" customHeight="1" thickBot="1">
      <c r="A5" s="590" t="inlineStr">
        <is>
          <t>Base Year and Comparison</t>
        </is>
      </c>
      <c r="B5" s="746" t="n"/>
      <c r="C5" s="754" t="n"/>
      <c r="E5" s="755" t="inlineStr">
        <is>
          <t>Growth Story</t>
        </is>
      </c>
      <c r="F5" s="680" t="n"/>
      <c r="H5" s="755" t="inlineStr">
        <is>
          <t>Profitability Story</t>
        </is>
      </c>
      <c r="I5" s="680" t="n"/>
      <c r="K5" s="755" t="inlineStr">
        <is>
          <t>Growth Efficiency Story</t>
        </is>
      </c>
      <c r="L5" s="680" t="n"/>
      <c r="P5" s="435" t="n"/>
    </row>
    <row r="6" ht="14" customHeight="1">
      <c r="A6" s="434" t="n"/>
      <c r="B6" s="370" t="inlineStr">
        <is>
          <t>Company</t>
        </is>
      </c>
      <c r="C6" s="370" t="inlineStr">
        <is>
          <t>Industry</t>
        </is>
      </c>
      <c r="E6" s="588">
        <f>'Stories to Numbers'!G9</f>
        <v/>
      </c>
      <c r="F6" s="724" t="n"/>
      <c r="H6" s="588">
        <f>'Stories to Numbers'!G10</f>
        <v/>
      </c>
      <c r="I6" s="724" t="n"/>
      <c r="K6" s="588">
        <f>'Stories to Numbers'!G12</f>
        <v/>
      </c>
      <c r="L6" s="724" t="n"/>
      <c r="O6" s="604" t="inlineStr">
        <is>
          <t>Terminal Value</t>
        </is>
      </c>
      <c r="P6" s="697" t="n"/>
    </row>
    <row r="7">
      <c r="A7" s="436" t="inlineStr">
        <is>
          <t>Revenue Growth</t>
        </is>
      </c>
      <c r="B7" s="356">
        <f>'Input sheet'!I25</f>
        <v/>
      </c>
      <c r="C7" s="356">
        <f>'Input sheet'!K25</f>
        <v/>
      </c>
      <c r="E7" s="726" t="n"/>
      <c r="F7" s="727" t="n"/>
      <c r="H7" s="726" t="n"/>
      <c r="I7" s="727" t="n"/>
      <c r="K7" s="726" t="n"/>
      <c r="L7" s="727" t="n"/>
      <c r="O7" s="354" t="inlineStr">
        <is>
          <t>Growth Rate</t>
        </is>
      </c>
      <c r="P7" s="437">
        <f>O16</f>
        <v/>
      </c>
    </row>
    <row r="8">
      <c r="A8" s="436" t="inlineStr">
        <is>
          <t>Revenue</t>
        </is>
      </c>
      <c r="B8" s="756">
        <f>'Valuation output'!B3</f>
        <v/>
      </c>
      <c r="E8" s="726" t="n"/>
      <c r="F8" s="727" t="n"/>
      <c r="H8" s="726" t="n"/>
      <c r="I8" s="727" t="n"/>
      <c r="K8" s="726" t="n"/>
      <c r="L8" s="727" t="n"/>
      <c r="O8" s="354" t="inlineStr">
        <is>
          <t>Cost of capital</t>
        </is>
      </c>
      <c r="P8" s="437">
        <f>'Valuation output'!M12</f>
        <v/>
      </c>
    </row>
    <row r="9">
      <c r="A9" s="436" t="inlineStr">
        <is>
          <t>Operating Margin</t>
        </is>
      </c>
      <c r="B9" s="356">
        <f>'Valuation output'!B4</f>
        <v/>
      </c>
      <c r="C9" s="356">
        <f>'Input sheet'!K26</f>
        <v/>
      </c>
      <c r="E9" s="726" t="n"/>
      <c r="F9" s="727" t="n"/>
      <c r="H9" s="726" t="n"/>
      <c r="I9" s="727" t="n"/>
      <c r="K9" s="726" t="n"/>
      <c r="L9" s="727" t="n"/>
      <c r="O9" s="354" t="inlineStr">
        <is>
          <t>Return on capital</t>
        </is>
      </c>
      <c r="P9" s="437">
        <f>'Valuation output'!M40</f>
        <v/>
      </c>
    </row>
    <row r="10">
      <c r="A10" s="436" t="inlineStr">
        <is>
          <t>Operating Income</t>
        </is>
      </c>
      <c r="B10" s="756">
        <f>'Valuation output'!B5</f>
        <v/>
      </c>
      <c r="E10" s="726" t="n"/>
      <c r="F10" s="727" t="n"/>
      <c r="H10" s="726" t="n"/>
      <c r="I10" s="727" t="n"/>
      <c r="K10" s="726" t="n"/>
      <c r="L10" s="727" t="n"/>
      <c r="O10" s="354" t="inlineStr">
        <is>
          <t>Reinvestment Rate</t>
        </is>
      </c>
      <c r="P10" s="437">
        <f>P7/P9</f>
        <v/>
      </c>
    </row>
    <row r="11">
      <c r="A11" s="436" t="inlineStr">
        <is>
          <t>EBIT (1-t)</t>
        </is>
      </c>
      <c r="B11" s="756">
        <f>'Valuation output'!B7</f>
        <v/>
      </c>
      <c r="E11" s="726" t="n"/>
      <c r="F11" s="727" t="n"/>
      <c r="H11" s="726" t="n"/>
      <c r="I11" s="727" t="n"/>
      <c r="K11" s="726" t="n"/>
      <c r="L11" s="727" t="n"/>
      <c r="P11" s="438" t="n"/>
    </row>
    <row r="12">
      <c r="A12" s="434" t="n"/>
      <c r="E12" s="728" t="n"/>
      <c r="F12" s="730" t="n"/>
      <c r="H12" s="728" t="n"/>
      <c r="I12" s="730" t="n"/>
      <c r="K12" s="728" t="n"/>
      <c r="L12" s="730" t="n"/>
      <c r="P12" s="438" t="n"/>
    </row>
    <row r="13">
      <c r="A13" s="434" t="n"/>
      <c r="P13" s="438" t="n"/>
    </row>
    <row r="14" ht="15" customHeight="1" thickBot="1">
      <c r="A14" s="434" t="n"/>
      <c r="P14" s="435" t="n"/>
    </row>
    <row r="15">
      <c r="A15" s="757">
        <f>'Valuation output'!A19</f>
        <v/>
      </c>
      <c r="B15" s="758">
        <f>'Valuation output'!B19</f>
        <v/>
      </c>
      <c r="D15" s="354" t="n"/>
      <c r="E15" s="357">
        <f>'Valuation output'!C1</f>
        <v/>
      </c>
      <c r="F15" s="357">
        <f>'Valuation output'!D1</f>
        <v/>
      </c>
      <c r="G15" s="357">
        <f>'Valuation output'!E1</f>
        <v/>
      </c>
      <c r="H15" s="357">
        <f>'Valuation output'!F1</f>
        <v/>
      </c>
      <c r="I15" s="357">
        <f>'Valuation output'!G1</f>
        <v/>
      </c>
      <c r="J15" s="357">
        <f>'Valuation output'!H1</f>
        <v/>
      </c>
      <c r="K15" s="357">
        <f>'Valuation output'!I1</f>
        <v/>
      </c>
      <c r="L15" s="357">
        <f>'Valuation output'!J1</f>
        <v/>
      </c>
      <c r="M15" s="357">
        <f>'Valuation output'!K1</f>
        <v/>
      </c>
      <c r="N15" s="357">
        <f>'Valuation output'!L1</f>
        <v/>
      </c>
      <c r="O15" s="358">
        <f>'Valuation output'!M1</f>
        <v/>
      </c>
      <c r="P15" s="440" t="n"/>
    </row>
    <row r="16">
      <c r="A16" s="441">
        <f>'Valuation output'!A20</f>
        <v/>
      </c>
      <c r="B16" s="759">
        <f>'Valuation output'!B20</f>
        <v/>
      </c>
      <c r="D16" s="354" t="inlineStr">
        <is>
          <t>Revenue Growth</t>
        </is>
      </c>
      <c r="E16" s="356">
        <f>'Valuation output'!C2</f>
        <v/>
      </c>
      <c r="F16" s="356">
        <f>'Valuation output'!D2</f>
        <v/>
      </c>
      <c r="G16" s="356">
        <f>'Valuation output'!E2</f>
        <v/>
      </c>
      <c r="H16" s="356">
        <f>'Valuation output'!F2</f>
        <v/>
      </c>
      <c r="I16" s="356">
        <f>'Valuation output'!G2</f>
        <v/>
      </c>
      <c r="J16" s="356">
        <f>'Valuation output'!H2</f>
        <v/>
      </c>
      <c r="K16" s="356">
        <f>'Valuation output'!I2</f>
        <v/>
      </c>
      <c r="L16" s="356">
        <f>'Valuation output'!J2</f>
        <v/>
      </c>
      <c r="M16" s="356">
        <f>'Valuation output'!K2</f>
        <v/>
      </c>
      <c r="N16" s="356">
        <f>'Valuation output'!L2</f>
        <v/>
      </c>
      <c r="O16" s="359">
        <f>'Valuation output'!M2</f>
        <v/>
      </c>
      <c r="P16" s="435" t="n"/>
    </row>
    <row r="17">
      <c r="A17" s="442">
        <f>'Valuation output'!A22</f>
        <v/>
      </c>
      <c r="B17" s="367">
        <f>'Valuation output'!B22</f>
        <v/>
      </c>
      <c r="D17" s="354" t="inlineStr">
        <is>
          <t>Revenue</t>
        </is>
      </c>
      <c r="E17" s="760">
        <f>'Valuation output'!C3</f>
        <v/>
      </c>
      <c r="F17" s="760">
        <f>'Valuation output'!D3</f>
        <v/>
      </c>
      <c r="G17" s="760">
        <f>'Valuation output'!E3</f>
        <v/>
      </c>
      <c r="H17" s="760">
        <f>'Valuation output'!F3</f>
        <v/>
      </c>
      <c r="I17" s="760">
        <f>'Valuation output'!G3</f>
        <v/>
      </c>
      <c r="J17" s="760">
        <f>'Valuation output'!H3</f>
        <v/>
      </c>
      <c r="K17" s="760">
        <f>'Valuation output'!I3</f>
        <v/>
      </c>
      <c r="L17" s="760">
        <f>'Valuation output'!J3</f>
        <v/>
      </c>
      <c r="M17" s="760">
        <f>'Valuation output'!K3</f>
        <v/>
      </c>
      <c r="N17" s="760">
        <f>'Valuation output'!L3</f>
        <v/>
      </c>
      <c r="O17" s="761">
        <f>'Valuation output'!M3</f>
        <v/>
      </c>
      <c r="P17" s="435" t="n"/>
    </row>
    <row r="18">
      <c r="A18" s="441">
        <f>'Valuation output'!A24</f>
        <v/>
      </c>
      <c r="B18" s="762">
        <f>'Valuation output'!B24</f>
        <v/>
      </c>
      <c r="D18" s="354" t="inlineStr">
        <is>
          <t>Operating Margin</t>
        </is>
      </c>
      <c r="E18" s="356">
        <f>'Valuation output'!C4</f>
        <v/>
      </c>
      <c r="F18" s="356">
        <f>'Valuation output'!D4</f>
        <v/>
      </c>
      <c r="G18" s="356">
        <f>'Valuation output'!E4</f>
        <v/>
      </c>
      <c r="H18" s="356">
        <f>'Valuation output'!F4</f>
        <v/>
      </c>
      <c r="I18" s="356">
        <f>'Valuation output'!G4</f>
        <v/>
      </c>
      <c r="J18" s="356">
        <f>'Valuation output'!H4</f>
        <v/>
      </c>
      <c r="K18" s="356">
        <f>'Valuation output'!I4</f>
        <v/>
      </c>
      <c r="L18" s="356">
        <f>'Valuation output'!J4</f>
        <v/>
      </c>
      <c r="M18" s="356">
        <f>'Valuation output'!K4</f>
        <v/>
      </c>
      <c r="N18" s="356">
        <f>'Valuation output'!L4</f>
        <v/>
      </c>
      <c r="O18" s="359">
        <f>'Valuation output'!M4</f>
        <v/>
      </c>
      <c r="P18" s="435" t="n"/>
    </row>
    <row r="19">
      <c r="A19" s="441">
        <f>'Valuation output'!A25</f>
        <v/>
      </c>
      <c r="B19" s="762">
        <f>'Valuation output'!B25</f>
        <v/>
      </c>
      <c r="D19" s="354" t="inlineStr">
        <is>
          <t>Operating Income</t>
        </is>
      </c>
      <c r="E19" s="760">
        <f>'Valuation output'!C5</f>
        <v/>
      </c>
      <c r="F19" s="760">
        <f>'Valuation output'!D5</f>
        <v/>
      </c>
      <c r="G19" s="760">
        <f>'Valuation output'!E5</f>
        <v/>
      </c>
      <c r="H19" s="760">
        <f>'Valuation output'!F5</f>
        <v/>
      </c>
      <c r="I19" s="760">
        <f>'Valuation output'!G5</f>
        <v/>
      </c>
      <c r="J19" s="760">
        <f>'Valuation output'!H5</f>
        <v/>
      </c>
      <c r="K19" s="760">
        <f>'Valuation output'!I5</f>
        <v/>
      </c>
      <c r="L19" s="760">
        <f>'Valuation output'!J5</f>
        <v/>
      </c>
      <c r="M19" s="760">
        <f>'Valuation output'!K5</f>
        <v/>
      </c>
      <c r="N19" s="760">
        <f>'Valuation output'!L5</f>
        <v/>
      </c>
      <c r="O19" s="761">
        <f>'Valuation output'!M5</f>
        <v/>
      </c>
      <c r="P19" s="435" t="n"/>
    </row>
    <row r="20">
      <c r="A20" s="441">
        <f>'Valuation output'!A26</f>
        <v/>
      </c>
      <c r="B20" s="762">
        <f>'Valuation output'!B26</f>
        <v/>
      </c>
      <c r="D20" s="354" t="inlineStr">
        <is>
          <t>EBIT (1-t)</t>
        </is>
      </c>
      <c r="E20" s="760">
        <f>'Valuation output'!C7</f>
        <v/>
      </c>
      <c r="F20" s="760">
        <f>'Valuation output'!D7</f>
        <v/>
      </c>
      <c r="G20" s="760">
        <f>'Valuation output'!E7</f>
        <v/>
      </c>
      <c r="H20" s="760">
        <f>'Valuation output'!F7</f>
        <v/>
      </c>
      <c r="I20" s="760">
        <f>'Valuation output'!G7</f>
        <v/>
      </c>
      <c r="J20" s="760">
        <f>'Valuation output'!H7</f>
        <v/>
      </c>
      <c r="K20" s="760">
        <f>'Valuation output'!I7</f>
        <v/>
      </c>
      <c r="L20" s="760">
        <f>'Valuation output'!J7</f>
        <v/>
      </c>
      <c r="M20" s="760">
        <f>'Valuation output'!K7</f>
        <v/>
      </c>
      <c r="N20" s="760">
        <f>'Valuation output'!L7</f>
        <v/>
      </c>
      <c r="O20" s="761">
        <f>'Valuation output'!M7</f>
        <v/>
      </c>
      <c r="P20" s="435" t="n"/>
    </row>
    <row r="21">
      <c r="A21" s="441">
        <f>'Valuation output'!A27</f>
        <v/>
      </c>
      <c r="B21" s="762">
        <f>'Valuation output'!B27</f>
        <v/>
      </c>
      <c r="D21" s="354" t="inlineStr">
        <is>
          <t>Reinvestment</t>
        </is>
      </c>
      <c r="E21" s="760">
        <f>'Valuation output'!C8</f>
        <v/>
      </c>
      <c r="F21" s="760">
        <f>'Valuation output'!D8</f>
        <v/>
      </c>
      <c r="G21" s="760">
        <f>'Valuation output'!E8</f>
        <v/>
      </c>
      <c r="H21" s="760">
        <f>'Valuation output'!F8</f>
        <v/>
      </c>
      <c r="I21" s="760">
        <f>'Valuation output'!G8</f>
        <v/>
      </c>
      <c r="J21" s="760">
        <f>'Valuation output'!H8</f>
        <v/>
      </c>
      <c r="K21" s="760">
        <f>'Valuation output'!I8</f>
        <v/>
      </c>
      <c r="L21" s="760">
        <f>'Valuation output'!J8</f>
        <v/>
      </c>
      <c r="M21" s="760">
        <f>'Valuation output'!K8</f>
        <v/>
      </c>
      <c r="N21" s="760">
        <f>'Valuation output'!L8</f>
        <v/>
      </c>
      <c r="O21" s="761">
        <f>'Valuation output'!M8</f>
        <v/>
      </c>
      <c r="P21" s="435" t="n"/>
    </row>
    <row r="22">
      <c r="A22" s="441">
        <f>'Valuation output'!A28</f>
        <v/>
      </c>
      <c r="B22" s="762">
        <f>'Valuation output'!B28</f>
        <v/>
      </c>
      <c r="D22" s="355" t="inlineStr">
        <is>
          <t>FCFF</t>
        </is>
      </c>
      <c r="E22" s="761">
        <f>'Valuation output'!C9</f>
        <v/>
      </c>
      <c r="F22" s="761">
        <f>'Valuation output'!D9</f>
        <v/>
      </c>
      <c r="G22" s="761">
        <f>'Valuation output'!E9</f>
        <v/>
      </c>
      <c r="H22" s="761">
        <f>'Valuation output'!F9</f>
        <v/>
      </c>
      <c r="I22" s="761">
        <f>'Valuation output'!G9</f>
        <v/>
      </c>
      <c r="J22" s="761">
        <f>'Valuation output'!H9</f>
        <v/>
      </c>
      <c r="K22" s="761">
        <f>'Valuation output'!I9</f>
        <v/>
      </c>
      <c r="L22" s="761">
        <f>'Valuation output'!J9</f>
        <v/>
      </c>
      <c r="M22" s="761">
        <f>'Valuation output'!K9</f>
        <v/>
      </c>
      <c r="N22" s="761">
        <f>'Valuation output'!L9</f>
        <v/>
      </c>
      <c r="O22" s="761">
        <f>'Valuation output'!M9</f>
        <v/>
      </c>
      <c r="P22" s="435" t="n"/>
    </row>
    <row r="23">
      <c r="A23" s="441">
        <f>'Valuation output'!A29</f>
        <v/>
      </c>
      <c r="B23" s="762">
        <f>'Valuation output'!B29</f>
        <v/>
      </c>
      <c r="N23" s="763">
        <f>'Valuation output'!B18</f>
        <v/>
      </c>
      <c r="P23" s="435" t="n"/>
    </row>
    <row r="24">
      <c r="A24" s="441">
        <f>'Valuation output'!A30</f>
        <v/>
      </c>
      <c r="B24" s="762">
        <f>'Valuation output'!B30</f>
        <v/>
      </c>
      <c r="P24" s="435" t="n"/>
    </row>
    <row r="25">
      <c r="A25" s="441">
        <f>'Valuation output'!A31</f>
        <v/>
      </c>
      <c r="B25" s="762">
        <f>'Valuation output'!B31</f>
        <v/>
      </c>
      <c r="D25" s="355" t="inlineStr">
        <is>
          <t>Cost of Capital</t>
        </is>
      </c>
      <c r="E25" s="359">
        <f>'Valuation output'!C12</f>
        <v/>
      </c>
      <c r="F25" s="359">
        <f>'Valuation output'!D12</f>
        <v/>
      </c>
      <c r="G25" s="359">
        <f>'Valuation output'!E12</f>
        <v/>
      </c>
      <c r="H25" s="359">
        <f>'Valuation output'!F12</f>
        <v/>
      </c>
      <c r="I25" s="359">
        <f>'Valuation output'!G12</f>
        <v/>
      </c>
      <c r="J25" s="359">
        <f>'Valuation output'!H12</f>
        <v/>
      </c>
      <c r="K25" s="359">
        <f>'Valuation output'!I12</f>
        <v/>
      </c>
      <c r="L25" s="359">
        <f>'Valuation output'!J12</f>
        <v/>
      </c>
      <c r="M25" s="359">
        <f>'Valuation output'!K12</f>
        <v/>
      </c>
      <c r="N25" s="359">
        <f>'Valuation output'!L12</f>
        <v/>
      </c>
      <c r="O25" s="433" t="n"/>
      <c r="P25" s="435" t="n"/>
    </row>
    <row r="26">
      <c r="A26" s="443">
        <f>'Valuation output'!A32</f>
        <v/>
      </c>
      <c r="B26" s="369">
        <f>'Valuation output'!B32</f>
        <v/>
      </c>
      <c r="D26" s="354" t="inlineStr">
        <is>
          <t>Cumulated WACC</t>
        </is>
      </c>
      <c r="E26" s="764">
        <f>'Valuation output'!C13</f>
        <v/>
      </c>
      <c r="F26" s="764">
        <f>'Valuation output'!D13</f>
        <v/>
      </c>
      <c r="G26" s="764">
        <f>'Valuation output'!E13</f>
        <v/>
      </c>
      <c r="H26" s="764">
        <f>'Valuation output'!F13</f>
        <v/>
      </c>
      <c r="I26" s="764">
        <f>'Valuation output'!G13</f>
        <v/>
      </c>
      <c r="J26" s="764">
        <f>'Valuation output'!H13</f>
        <v/>
      </c>
      <c r="K26" s="764">
        <f>'Valuation output'!I13</f>
        <v/>
      </c>
      <c r="L26" s="764">
        <f>'Valuation output'!J13</f>
        <v/>
      </c>
      <c r="M26" s="764">
        <f>'Valuation output'!K13</f>
        <v/>
      </c>
      <c r="N26" s="764">
        <f>'Valuation output'!L13</f>
        <v/>
      </c>
      <c r="P26" s="435" t="n"/>
    </row>
    <row r="27">
      <c r="A27" s="444">
        <f>'Valuation output'!A33</f>
        <v/>
      </c>
      <c r="B27" s="765">
        <f>'Valuation output'!B33</f>
        <v/>
      </c>
      <c r="P27" s="435" t="n"/>
    </row>
    <row r="28">
      <c r="A28" s="445" t="n"/>
      <c r="B28" s="766" t="n"/>
      <c r="D28" s="355" t="inlineStr">
        <is>
          <t>Sales to Capital</t>
        </is>
      </c>
      <c r="E28" s="371">
        <f>'Valuation output'!C38</f>
        <v/>
      </c>
      <c r="F28" s="371">
        <f>'Valuation output'!D38</f>
        <v/>
      </c>
      <c r="G28" s="371">
        <f>'Valuation output'!E38</f>
        <v/>
      </c>
      <c r="H28" s="371">
        <f>'Valuation output'!F38</f>
        <v/>
      </c>
      <c r="I28" s="371">
        <f>'Valuation output'!G38</f>
        <v/>
      </c>
      <c r="J28" s="371">
        <f>'Valuation output'!H38</f>
        <v/>
      </c>
      <c r="K28" s="371">
        <f>'Valuation output'!I38</f>
        <v/>
      </c>
      <c r="L28" s="371">
        <f>'Valuation output'!J38</f>
        <v/>
      </c>
      <c r="M28" s="371">
        <f>'Valuation output'!K38</f>
        <v/>
      </c>
      <c r="N28" s="371">
        <f>'Valuation output'!L38</f>
        <v/>
      </c>
      <c r="P28" s="435" t="n"/>
    </row>
    <row r="29">
      <c r="A29" s="441" t="inlineStr">
        <is>
          <t>Price per share</t>
        </is>
      </c>
      <c r="B29" s="767">
        <f>'Stories to Numbers'!G39</f>
        <v/>
      </c>
      <c r="D29" s="354" t="inlineStr">
        <is>
          <t>ROIC</t>
        </is>
      </c>
      <c r="E29" s="356">
        <f>'Valuation output'!C40</f>
        <v/>
      </c>
      <c r="F29" s="356">
        <f>'Valuation output'!D40</f>
        <v/>
      </c>
      <c r="G29" s="356">
        <f>'Valuation output'!E40</f>
        <v/>
      </c>
      <c r="H29" s="356">
        <f>'Valuation output'!F40</f>
        <v/>
      </c>
      <c r="I29" s="356">
        <f>'Valuation output'!G40</f>
        <v/>
      </c>
      <c r="J29" s="356">
        <f>'Valuation output'!H40</f>
        <v/>
      </c>
      <c r="K29" s="356">
        <f>'Valuation output'!I40</f>
        <v/>
      </c>
      <c r="L29" s="356">
        <f>'Valuation output'!J40</f>
        <v/>
      </c>
      <c r="M29" s="356">
        <f>'Valuation output'!K40</f>
        <v/>
      </c>
      <c r="N29" s="356">
        <f>'Valuation output'!L40</f>
        <v/>
      </c>
      <c r="O29" s="356">
        <f>'Valuation output'!M40</f>
        <v/>
      </c>
      <c r="P29" s="435" t="n"/>
    </row>
    <row r="30">
      <c r="A30" s="441" t="inlineStr">
        <is>
          <t>% Under or Over Valued</t>
        </is>
      </c>
      <c r="B30" s="374">
        <f>B29/B27-1</f>
        <v/>
      </c>
      <c r="P30" s="435" t="n"/>
    </row>
    <row r="31" ht="15" customHeight="1" thickBot="1">
      <c r="A31" s="434" t="n"/>
      <c r="P31" s="435" t="n"/>
    </row>
    <row r="32">
      <c r="A32" s="434" t="n"/>
      <c r="D32" s="755" t="inlineStr">
        <is>
          <t>Risk Story</t>
        </is>
      </c>
      <c r="E32" s="680" t="n"/>
      <c r="G32" s="755" t="inlineStr">
        <is>
          <t>Competitive Advantages</t>
        </is>
      </c>
      <c r="H32" s="679" t="n"/>
      <c r="I32" s="680" t="n"/>
      <c r="P32" s="435" t="n"/>
    </row>
    <row r="33" ht="14" customHeight="1">
      <c r="A33" s="434" t="n"/>
      <c r="D33" s="588">
        <f>'Stories to Numbers'!G14</f>
        <v/>
      </c>
      <c r="E33" s="724" t="n"/>
      <c r="G33" s="588">
        <f>'Stories to Numbers'!G13</f>
        <v/>
      </c>
      <c r="H33" s="723" t="n"/>
      <c r="I33" s="724" t="n"/>
      <c r="P33" s="435" t="n"/>
    </row>
    <row r="34">
      <c r="A34" s="434" t="n"/>
      <c r="D34" s="726" t="n"/>
      <c r="E34" s="727" t="n"/>
      <c r="G34" s="726" t="n"/>
      <c r="I34" s="727" t="n"/>
      <c r="P34" s="435" t="n"/>
    </row>
    <row r="35">
      <c r="A35" s="434" t="n"/>
      <c r="D35" s="726" t="n"/>
      <c r="E35" s="727" t="n"/>
      <c r="G35" s="726" t="n"/>
      <c r="I35" s="727" t="n"/>
      <c r="P35" s="435" t="n"/>
    </row>
    <row r="36">
      <c r="A36" s="434" t="n"/>
      <c r="D36" s="726" t="n"/>
      <c r="E36" s="727" t="n"/>
      <c r="G36" s="726" t="n"/>
      <c r="I36" s="727" t="n"/>
      <c r="P36" s="435" t="n"/>
    </row>
    <row r="37">
      <c r="A37" s="434" t="n"/>
      <c r="D37" s="726" t="n"/>
      <c r="E37" s="727" t="n"/>
      <c r="G37" s="726" t="n"/>
      <c r="I37" s="727" t="n"/>
      <c r="P37" s="435" t="n"/>
    </row>
    <row r="38" ht="15" customHeight="1" thickBot="1">
      <c r="A38" s="446" t="n"/>
      <c r="B38" s="447" t="n"/>
      <c r="C38" s="447" t="n"/>
      <c r="D38" s="728" t="n"/>
      <c r="E38" s="730" t="n"/>
      <c r="F38" s="447" t="n"/>
      <c r="G38" s="728" t="n"/>
      <c r="H38" s="729" t="n"/>
      <c r="I38" s="730" t="n"/>
      <c r="J38" s="447" t="n"/>
      <c r="K38" s="447" t="n"/>
      <c r="L38" s="447" t="n"/>
      <c r="M38" s="447" t="n"/>
      <c r="N38" s="447" t="n"/>
      <c r="O38" s="447" t="n"/>
      <c r="P38" s="448" t="n"/>
    </row>
  </sheetData>
  <mergeCells count="14">
    <mergeCell ref="O3:P3"/>
    <mergeCell ref="A3:N3"/>
    <mergeCell ref="G32:I32"/>
    <mergeCell ref="H6:I12"/>
    <mergeCell ref="A5:C5"/>
    <mergeCell ref="O6:P6"/>
    <mergeCell ref="E5:F5"/>
    <mergeCell ref="K5:L5"/>
    <mergeCell ref="H5:I5"/>
    <mergeCell ref="E6:F12"/>
    <mergeCell ref="D32:E32"/>
    <mergeCell ref="D33:E38"/>
    <mergeCell ref="K6:L12"/>
    <mergeCell ref="G33:I3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topLeftCell="A35" zoomScale="125" zoomScaleNormal="125" workbookViewId="0">
      <selection activeCell="A25" sqref="A25"/>
    </sheetView>
  </sheetViews>
  <sheetFormatPr baseColWidth="10" defaultRowHeight="16"/>
  <cols>
    <col width="61.6640625" customWidth="1" style="4" min="1" max="1"/>
    <col width="17.6640625" customWidth="1" style="244" min="2" max="2"/>
    <col width="21" customWidth="1" style="244" min="3" max="3"/>
    <col width="20.5" customWidth="1" style="244" min="4" max="4"/>
    <col width="17.6640625" customWidth="1" style="244" min="5" max="5"/>
    <col width="11.1640625" customWidth="1" style="4" min="6" max="6"/>
    <col width="72" customWidth="1" style="4" min="7" max="7"/>
    <col width="10.83203125" customWidth="1" style="4" min="8" max="16384"/>
  </cols>
  <sheetData>
    <row r="1">
      <c r="A1" s="248" t="inlineStr">
        <is>
          <t>Step 1: Check revenue growth rate</t>
        </is>
      </c>
      <c r="B1" s="249" t="n"/>
      <c r="C1" s="250" t="n"/>
      <c r="D1" s="609" t="inlineStr">
        <is>
          <t>Your forecasts</t>
        </is>
      </c>
      <c r="E1" s="680" t="n"/>
      <c r="G1" s="245" t="inlineStr">
        <is>
          <t>Questions to ask</t>
        </is>
      </c>
    </row>
    <row r="2" ht="34" customHeight="1">
      <c r="A2" s="251" t="n"/>
      <c r="B2" s="252" t="inlineStr">
        <is>
          <t>Industry Average</t>
        </is>
      </c>
      <c r="C2" s="252" t="inlineStr">
        <is>
          <t>Most Recent year</t>
        </is>
      </c>
      <c r="D2" s="252" t="inlineStr">
        <is>
          <t>Next year</t>
        </is>
      </c>
      <c r="E2" s="253" t="inlineStr">
        <is>
          <t>Years 2-5</t>
        </is>
      </c>
      <c r="G2" s="260" t="inlineStr">
        <is>
          <t>1. If you are forecasting a revenue growth rate &gt; industry average, is your company small?</t>
        </is>
      </c>
    </row>
    <row r="3" ht="34" customHeight="1">
      <c r="A3" s="449" t="inlineStr">
        <is>
          <t>Annual Revenue Growth Rate</t>
        </is>
      </c>
      <c r="B3" s="451">
        <f>'Input sheet'!J25</f>
        <v/>
      </c>
      <c r="C3" s="451">
        <f>'Input sheet'!I25</f>
        <v/>
      </c>
      <c r="D3" s="451">
        <f>'Valuation output'!C2</f>
        <v/>
      </c>
      <c r="E3" s="451">
        <f>'Valuation output'!D2</f>
        <v/>
      </c>
      <c r="G3" s="260" t="inlineStr">
        <is>
          <t>2. If your forecasted revenue growth rate is very different from your company's most recent year of growth, what is the reason?</t>
        </is>
      </c>
    </row>
    <row r="4" ht="17" customHeight="1" thickBot="1"/>
    <row r="5">
      <c r="A5" s="248" t="inlineStr">
        <is>
          <t>Step 2: Check dollar revenues</t>
        </is>
      </c>
      <c r="B5" s="250" t="n"/>
      <c r="C5" s="250" t="n"/>
      <c r="D5" s="250" t="n"/>
      <c r="E5" s="254" t="n"/>
    </row>
    <row r="6">
      <c r="A6" s="251" t="n"/>
      <c r="B6" s="244" t="inlineStr">
        <is>
          <t>Most Recent year</t>
        </is>
      </c>
      <c r="C6" s="244" t="inlineStr">
        <is>
          <t>Next year</t>
        </is>
      </c>
      <c r="D6" s="244" t="inlineStr">
        <is>
          <t>Year 5</t>
        </is>
      </c>
      <c r="E6" s="255" t="inlineStr">
        <is>
          <t>Year 10</t>
        </is>
      </c>
      <c r="G6" s="246" t="inlineStr">
        <is>
          <t>1. How big is the total market today?</t>
        </is>
      </c>
    </row>
    <row r="7">
      <c r="A7" s="449" t="inlineStr">
        <is>
          <t>Revenues</t>
        </is>
      </c>
      <c r="B7" s="768">
        <f>'Valuation output'!B3</f>
        <v/>
      </c>
      <c r="C7" s="768">
        <f>'Valuation output'!C3</f>
        <v/>
      </c>
      <c r="D7" s="768">
        <f>'Valuation output'!G3</f>
        <v/>
      </c>
      <c r="E7" s="768">
        <f>'Valuation output'!L3</f>
        <v/>
      </c>
      <c r="G7" s="246" t="inlineStr">
        <is>
          <t>2. How much revenues do the biggest companies in that market make today?</t>
        </is>
      </c>
    </row>
    <row r="8">
      <c r="G8" s="246" t="inlineStr">
        <is>
          <t>3. How much growth is there in the total market?</t>
        </is>
      </c>
    </row>
    <row r="9">
      <c r="G9" s="246" t="inlineStr">
        <is>
          <t>4. What type of market share are you forecasting for your company in year 10?</t>
        </is>
      </c>
    </row>
    <row r="10" ht="17" customHeight="1" thickBot="1"/>
    <row r="11">
      <c r="A11" s="256" t="inlineStr">
        <is>
          <t>Step 3: Check your margins</t>
        </is>
      </c>
      <c r="B11" s="257" t="inlineStr">
        <is>
          <t>Most Recent year</t>
        </is>
      </c>
      <c r="C11" s="257" t="inlineStr">
        <is>
          <t>Next year</t>
        </is>
      </c>
      <c r="D11" s="257" t="inlineStr">
        <is>
          <t>Year 5</t>
        </is>
      </c>
      <c r="E11" s="258" t="inlineStr">
        <is>
          <t>Year 10</t>
        </is>
      </c>
      <c r="G11" s="246" t="inlineStr">
        <is>
          <t>1. What are the margins of the industry that the company is in?</t>
        </is>
      </c>
    </row>
    <row r="12" ht="34" customHeight="1">
      <c r="A12" s="449" t="inlineStr">
        <is>
          <t>Operating Margin</t>
        </is>
      </c>
      <c r="B12" s="451">
        <f>'Valuation output'!B4</f>
        <v/>
      </c>
      <c r="C12" s="451">
        <f>'Valuation output'!C4</f>
        <v/>
      </c>
      <c r="D12" s="451">
        <f>'Valuation output'!G4</f>
        <v/>
      </c>
      <c r="E12" s="451">
        <f>'Valuation output'!M4</f>
        <v/>
      </c>
      <c r="G12" s="260" t="inlineStr">
        <is>
          <t>2. What are the unit economics of the business? (How much does it cost you to make the extra unit that you sell?</t>
        </is>
      </c>
    </row>
    <row r="13">
      <c r="G13" s="246" t="inlineStr">
        <is>
          <t>3. What does the competition in this business look like?</t>
        </is>
      </c>
    </row>
    <row r="14" ht="17" customHeight="1" thickBot="1"/>
    <row r="15">
      <c r="A15" s="256" t="inlineStr">
        <is>
          <t>Step 4: Check how much you are reinvesting</t>
        </is>
      </c>
      <c r="B15" s="250" t="n"/>
      <c r="C15" s="250" t="n"/>
      <c r="D15" s="250" t="n"/>
      <c r="E15" s="254" t="n"/>
    </row>
    <row r="16">
      <c r="A16" s="251" t="n"/>
      <c r="B16" s="252" t="inlineStr">
        <is>
          <t>Most Recent year</t>
        </is>
      </c>
      <c r="C16" s="252" t="inlineStr">
        <is>
          <t>Next year</t>
        </is>
      </c>
      <c r="D16" s="252" t="inlineStr">
        <is>
          <t>Year 5</t>
        </is>
      </c>
      <c r="E16" s="253" t="inlineStr">
        <is>
          <t>Year 10</t>
        </is>
      </c>
      <c r="G16" s="246" t="inlineStr">
        <is>
          <t>1. is the growth that you are forecasting bounce-back growth or new growth?</t>
        </is>
      </c>
    </row>
    <row r="17">
      <c r="A17" s="449" t="inlineStr">
        <is>
          <t>Sales to Capital</t>
        </is>
      </c>
      <c r="B17" s="452">
        <f>'Input sheet'!I27</f>
        <v/>
      </c>
      <c r="C17" s="452">
        <f>'Valuation output'!C38</f>
        <v/>
      </c>
      <c r="D17" s="452">
        <f>'Valuation output'!G38</f>
        <v/>
      </c>
      <c r="E17" s="452">
        <f>'Valuation output'!L38</f>
        <v/>
      </c>
      <c r="G17" s="246" t="inlineStr">
        <is>
          <t>2. How much excess capacity do you have to service near term growth?</t>
        </is>
      </c>
    </row>
    <row r="18">
      <c r="A18" s="251" t="n"/>
      <c r="E18" s="255" t="n"/>
      <c r="G18" s="246" t="inlineStr">
        <is>
          <t>3. Does investment efficiency in this business change as companies get bigger?</t>
        </is>
      </c>
    </row>
    <row r="19">
      <c r="A19" s="259" t="inlineStr">
        <is>
          <t>Reinvestment effect on cash flows</t>
        </is>
      </c>
      <c r="E19" s="255" t="n"/>
    </row>
    <row r="20">
      <c r="A20" s="251" t="n"/>
      <c r="B20" s="247" t="inlineStr">
        <is>
          <t>$ Value</t>
        </is>
      </c>
      <c r="C20" s="247" t="inlineStr">
        <is>
          <t>As % of value</t>
        </is>
      </c>
      <c r="E20" s="255" t="n"/>
    </row>
    <row r="21">
      <c r="A21" s="251" t="inlineStr">
        <is>
          <t>PV of after-tax operating income for next 10 yearas</t>
        </is>
      </c>
      <c r="B21" s="76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454">
        <f>B21/B21</f>
        <v/>
      </c>
      <c r="E21" s="255" t="n"/>
      <c r="G21" s="246" t="inlineStr">
        <is>
          <t>1. Is your reinvestment consitent with your revenue growth forecast?</t>
        </is>
      </c>
    </row>
    <row r="22">
      <c r="A22" s="449" t="inlineStr">
        <is>
          <t>Value effect of reinvestment for next 10 years</t>
        </is>
      </c>
      <c r="B22" s="770">
        <f>B21-B23</f>
        <v/>
      </c>
      <c r="C22" s="458">
        <f>B22/B21</f>
        <v/>
      </c>
      <c r="E22" s="255" t="n"/>
      <c r="G22" s="246" t="inlineStr">
        <is>
          <t>2. Are you comfortable with your return on capital in year 10?</t>
        </is>
      </c>
    </row>
    <row r="23">
      <c r="A23" s="251" t="inlineStr">
        <is>
          <t>PV of FCFF for next ten years</t>
        </is>
      </c>
      <c r="B23" s="771">
        <f>'Valuation output'!B20</f>
        <v/>
      </c>
      <c r="C23" s="456">
        <f>C21-C22</f>
        <v/>
      </c>
      <c r="E23" s="255" t="n"/>
    </row>
    <row r="24">
      <c r="A24" s="251" t="n"/>
      <c r="E24" s="255" t="n"/>
    </row>
    <row r="25">
      <c r="A25" s="259" t="inlineStr">
        <is>
          <t>Return on capital effects</t>
        </is>
      </c>
      <c r="E25" s="255" t="n"/>
    </row>
    <row r="26">
      <c r="A26" s="251" t="n"/>
      <c r="B26" s="252" t="inlineStr">
        <is>
          <t>Most recent year</t>
        </is>
      </c>
      <c r="C26" s="252" t="inlineStr">
        <is>
          <t>Marginal (1-10)</t>
        </is>
      </c>
      <c r="D26" s="252" t="inlineStr">
        <is>
          <t>ROC in year 10</t>
        </is>
      </c>
      <c r="E26" s="253" t="inlineStr">
        <is>
          <t>Stable ROC</t>
        </is>
      </c>
    </row>
    <row r="27">
      <c r="A27" s="449" t="inlineStr">
        <is>
          <t>Return on capital</t>
        </is>
      </c>
      <c r="B27" s="451">
        <f>'Valuation output'!B40</f>
        <v/>
      </c>
      <c r="C27" s="458">
        <f>('Valuation output'!L7-'Valuation output'!B7)/('Valuation output'!L39-'Valuation output'!B39)</f>
        <v/>
      </c>
      <c r="D27" s="451">
        <f>'Valuation output'!L40</f>
        <v/>
      </c>
      <c r="E27" s="451">
        <f>'Valuation output'!M40</f>
        <v/>
      </c>
    </row>
    <row r="28" ht="17" customHeight="1" thickBot="1"/>
    <row r="29">
      <c r="A29" s="256" t="inlineStr">
        <is>
          <t>Step 5: Risk Metrics</t>
        </is>
      </c>
      <c r="B29" s="250" t="n"/>
      <c r="C29" s="250" t="n"/>
      <c r="D29" s="250" t="n"/>
      <c r="E29" s="254" t="n"/>
    </row>
    <row r="30">
      <c r="A30" s="251" t="n"/>
      <c r="B30" s="252" t="inlineStr">
        <is>
          <t>Industry Average</t>
        </is>
      </c>
      <c r="C30" s="252" t="inlineStr">
        <is>
          <t>Compounded</t>
        </is>
      </c>
      <c r="D30" s="252" t="inlineStr">
        <is>
          <t>Year 1-5</t>
        </is>
      </c>
      <c r="E30" s="253" t="inlineStr">
        <is>
          <t>Stable Growth</t>
        </is>
      </c>
      <c r="G30" s="246" t="inlineStr">
        <is>
          <t>1. How does your cost of capital compare to the industry average?</t>
        </is>
      </c>
    </row>
    <row r="31">
      <c r="A31" s="449" t="inlineStr">
        <is>
          <t>Cost of capital</t>
        </is>
      </c>
      <c r="B31" s="458">
        <f>'Input sheet'!J31</f>
        <v/>
      </c>
      <c r="C31" s="458">
        <f>(1/'Valuation output'!L13)^(1/10)-1</f>
        <v/>
      </c>
      <c r="D31" s="458">
        <f>'Valuation output'!C12</f>
        <v/>
      </c>
      <c r="E31" s="458">
        <f>'Valuation output'!M12</f>
        <v/>
      </c>
      <c r="G31" s="246" t="inlineStr">
        <is>
          <t>2. What is happenign to your cost of capital over time? Why?</t>
        </is>
      </c>
    </row>
    <row r="32">
      <c r="A32" s="251" t="n"/>
      <c r="E32" s="255" t="n"/>
      <c r="G32" s="246" t="inlineStr">
        <is>
          <t>3. Is your failure rate consistent with your company's characteristics?</t>
        </is>
      </c>
    </row>
    <row r="33" ht="17" customHeight="1" thickBot="1">
      <c r="A33" s="449" t="inlineStr">
        <is>
          <t>Failure Rate</t>
        </is>
      </c>
      <c r="B33" s="451">
        <f>'Valuation output'!B22</f>
        <v/>
      </c>
      <c r="C33" s="261" t="n"/>
      <c r="D33" s="261" t="n"/>
      <c r="E33" s="262" t="n"/>
    </row>
    <row r="34" ht="17" customHeight="1" thickBot="1"/>
    <row r="35">
      <c r="A35" s="256" t="inlineStr">
        <is>
          <t>Step 6: Price versus Value</t>
        </is>
      </c>
      <c r="B35" s="250" t="n"/>
      <c r="C35" s="250" t="n"/>
      <c r="D35" s="250" t="n"/>
      <c r="E35" s="254" t="n"/>
    </row>
    <row r="36" ht="14" customFormat="1" customHeight="1" s="76" thickBot="1">
      <c r="A36" s="267" t="inlineStr">
        <is>
          <t>Your calculated value as a percent of current price</t>
        </is>
      </c>
      <c r="B36" s="263">
        <f>'Valuation output'!B33/'Valuation output'!B34</f>
        <v/>
      </c>
      <c r="C36" s="268" t="n"/>
      <c r="D36" s="268" t="n"/>
      <c r="E36" s="269" t="n"/>
    </row>
    <row r="37" ht="17" customFormat="1" customHeight="1" s="76" thickBot="1">
      <c r="A37" s="78" t="n"/>
      <c r="B37" s="772">
        <f>IF(B36="NA","Value is negative. See below",IF(B36&gt;2,"Value seems high. See below",IF(B36&lt;0.5,"Value seems low. See below"," ")))</f>
        <v/>
      </c>
      <c r="C37" s="773" t="n"/>
      <c r="D37" s="268" t="n"/>
      <c r="E37" s="269" t="n"/>
      <c r="F37" s="6" t="n"/>
    </row>
    <row r="38" ht="42" customFormat="1" customHeight="1" s="6">
      <c r="A38" s="274" t="inlineStr">
        <is>
          <t>Inputs</t>
        </is>
      </c>
      <c r="B38" s="459" t="inlineStr">
        <is>
          <t>If calculated value is negative or looks too low</t>
        </is>
      </c>
      <c r="C38" s="460" t="inlineStr">
        <is>
          <t>If calculated value looks too high</t>
        </is>
      </c>
      <c r="D38" s="270" t="n"/>
      <c r="E38" s="271" t="n"/>
    </row>
    <row r="39" ht="35" customFormat="1" customHeight="1" s="6">
      <c r="A39" s="264" t="inlineStr">
        <is>
          <t>Revenue growth rate (input cell B25, B27)</t>
        </is>
      </c>
      <c r="B39" s="461" t="inlineStr">
        <is>
          <t>Increase revenue growth rate</t>
        </is>
      </c>
      <c r="C39" s="461" t="inlineStr">
        <is>
          <t>Decrease revenue growth rate</t>
        </is>
      </c>
      <c r="D39" s="270" t="n"/>
      <c r="E39" s="271" t="n"/>
    </row>
    <row r="40" ht="42" customFormat="1" customHeight="1" s="6">
      <c r="A40" s="264" t="inlineStr">
        <is>
          <t>Operating margin (B26, B28)</t>
        </is>
      </c>
      <c r="B40" s="462" t="inlineStr">
        <is>
          <t>Increase the target pre-tax operating margin</t>
        </is>
      </c>
      <c r="C40" s="461" t="inlineStr">
        <is>
          <t>Decrease the target pre-tax operating margin</t>
        </is>
      </c>
      <c r="D40" s="270" t="inlineStr">
        <is>
          <t> </t>
        </is>
      </c>
      <c r="E40" s="271" t="n"/>
    </row>
    <row r="41" ht="34" customFormat="1" customHeight="1" s="6">
      <c r="A41" s="265" t="inlineStr">
        <is>
          <t>Sales to Capital (B30-B32)</t>
        </is>
      </c>
      <c r="B41" s="461" t="inlineStr">
        <is>
          <t>Increase the sales/capital ratio</t>
        </is>
      </c>
      <c r="C41" s="461" t="inlineStr">
        <is>
          <t>Decrease the sales/capital ratio</t>
        </is>
      </c>
      <c r="D41" s="270" t="inlineStr">
        <is>
          <t> </t>
        </is>
      </c>
      <c r="E41" s="271" t="n"/>
    </row>
    <row r="42" ht="48" customFormat="1" customHeight="1" s="6" thickBot="1">
      <c r="A42" s="266" t="inlineStr">
        <is>
          <t>Return on capital in perpetuity (B48, B49)</t>
        </is>
      </c>
      <c r="B42" s="463" t="inlineStr">
        <is>
          <t>Increase relative to your cost of capital</t>
        </is>
      </c>
      <c r="C42" s="461" t="inlineStr">
        <is>
          <t>If higher than your cost of capital, lower towards your cost of capital</t>
        </is>
      </c>
      <c r="D42" s="272" t="inlineStr">
        <is>
          <t>T</t>
        </is>
      </c>
      <c r="E42" s="273" t="n"/>
      <c r="F42" s="4"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8" min="1" max="1"/>
    <col width="28.1640625" customWidth="1" style="188" min="2" max="2"/>
    <col width="30.6640625" customWidth="1" style="188" min="3" max="3"/>
    <col width="24.83203125" customWidth="1" style="188" min="4" max="4"/>
    <col width="44.33203125" customWidth="1" style="130" min="5" max="7"/>
  </cols>
  <sheetData>
    <row r="1" ht="19" customHeight="1">
      <c r="A1" s="610"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681" t="n"/>
    </row>
    <row r="3" ht="18" customFormat="1" customHeight="1" s="294">
      <c r="A3" s="236" t="inlineStr">
        <is>
          <t>Valuing Options or Warrants</t>
        </is>
      </c>
      <c r="B3" s="236" t="n"/>
      <c r="C3" s="236" t="n"/>
      <c r="D3" s="236" t="n"/>
      <c r="E3" s="236" t="n"/>
      <c r="F3" s="236" t="n"/>
      <c r="G3" s="236" t="n"/>
    </row>
    <row r="4" customFormat="1" s="295">
      <c r="A4" s="188" t="inlineStr">
        <is>
          <t>Enter the current stock price =</t>
        </is>
      </c>
      <c r="B4" s="774">
        <f>'Input sheet'!B22</f>
        <v/>
      </c>
      <c r="C4" s="188" t="n"/>
      <c r="D4" s="188" t="n"/>
      <c r="E4" s="188" t="n"/>
    </row>
    <row r="5" customFormat="1" s="295">
      <c r="A5" s="188" t="inlineStr">
        <is>
          <t>Enter the strike price on the option =</t>
        </is>
      </c>
      <c r="B5" s="775">
        <f>'Input sheet'!B39</f>
        <v/>
      </c>
      <c r="C5" s="188" t="n"/>
      <c r="D5" s="188" t="n"/>
      <c r="E5" s="188" t="n"/>
    </row>
    <row r="6" customFormat="1" s="295">
      <c r="A6" s="188" t="inlineStr">
        <is>
          <t>Enter the expiration of the option =</t>
        </is>
      </c>
      <c r="B6" s="277">
        <f>'Input sheet'!B40</f>
        <v/>
      </c>
      <c r="C6" s="188" t="n"/>
      <c r="D6" s="188" t="n"/>
      <c r="E6" s="188" t="n"/>
    </row>
    <row r="7" customFormat="1" s="295">
      <c r="A7" s="188" t="inlineStr">
        <is>
          <t>Enter the standard deviation in stock prices =</t>
        </is>
      </c>
      <c r="B7" s="278">
        <f>'Input sheet'!B41</f>
        <v/>
      </c>
      <c r="C7" s="188" t="inlineStr">
        <is>
          <t>(volatility)</t>
        </is>
      </c>
      <c r="D7" s="188" t="n"/>
      <c r="E7" s="188" t="n"/>
    </row>
    <row r="8" customFormat="1" s="295">
      <c r="A8" s="188" t="inlineStr">
        <is>
          <t>Enter the annualized dividend yield on stock =</t>
        </is>
      </c>
      <c r="B8" s="279" t="n">
        <v>0</v>
      </c>
      <c r="C8" s="188" t="n"/>
      <c r="D8" s="188" t="n"/>
      <c r="E8" s="188" t="n"/>
    </row>
    <row r="9" customFormat="1" s="295">
      <c r="A9" s="188" t="inlineStr">
        <is>
          <t>Enter the treasury bond rate =</t>
        </is>
      </c>
      <c r="B9" s="279">
        <f>'Input sheet'!B34</f>
        <v/>
      </c>
      <c r="C9" s="188" t="n"/>
      <c r="D9" s="188" t="n"/>
      <c r="E9" s="188" t="n"/>
    </row>
    <row r="10" customFormat="1" s="295">
      <c r="A10" s="188" t="inlineStr">
        <is>
          <t>Enter the number of warrants (options) outstanding =</t>
        </is>
      </c>
      <c r="B10" s="277">
        <f>'Input sheet'!B38</f>
        <v/>
      </c>
      <c r="C10" s="188" t="n"/>
      <c r="D10" s="188" t="n"/>
      <c r="E10" s="188" t="n"/>
    </row>
    <row r="11" customFormat="1" s="295">
      <c r="A11" s="188" t="inlineStr">
        <is>
          <t>Enter the number of shares outstanding =</t>
        </is>
      </c>
      <c r="B11" s="280">
        <f>'Input sheet'!B21</f>
        <v/>
      </c>
      <c r="C11" s="188" t="n"/>
      <c r="D11" s="188" t="n"/>
      <c r="E11" s="188" t="n"/>
    </row>
    <row r="12" customFormat="1" s="295">
      <c r="A12" s="188" t="n"/>
      <c r="B12" s="188" t="n"/>
      <c r="C12" s="188" t="n"/>
      <c r="D12" s="188" t="n"/>
      <c r="E12" s="188" t="n"/>
      <c r="F12" s="188" t="n"/>
      <c r="G12" s="188" t="n"/>
    </row>
    <row r="13" customFormat="1" s="296">
      <c r="A13" s="281" t="inlineStr">
        <is>
          <t>Do not input any numbers below this line</t>
        </is>
      </c>
      <c r="B13" s="282" t="n"/>
      <c r="C13" s="282" t="n"/>
      <c r="D13" s="282" t="n"/>
      <c r="E13" s="282" t="n"/>
      <c r="F13" s="282" t="n"/>
      <c r="G13" s="282" t="n"/>
    </row>
    <row r="14" customFormat="1" s="297">
      <c r="A14" s="236" t="inlineStr">
        <is>
          <t>Dilution-adjusted Black-Scholes</t>
        </is>
      </c>
      <c r="B14" s="188" t="n"/>
      <c r="C14" s="188" t="n"/>
      <c r="D14" s="188" t="n"/>
      <c r="E14" s="188" t="n"/>
      <c r="F14" s="188" t="n"/>
      <c r="G14" s="188" t="n"/>
    </row>
    <row r="15" customFormat="1" s="297">
      <c r="A15" s="283" t="inlineStr">
        <is>
          <t>Stock Price=</t>
        </is>
      </c>
      <c r="B15" s="776">
        <f>B4</f>
        <v/>
      </c>
      <c r="C15" s="283" t="inlineStr">
        <is>
          <t># Warrants issued=</t>
        </is>
      </c>
      <c r="D15" s="286">
        <f>B10</f>
        <v/>
      </c>
      <c r="E15" s="298" t="n"/>
    </row>
    <row r="16" customFormat="1" s="297">
      <c r="A16" s="283" t="inlineStr">
        <is>
          <t>Strike Price=</t>
        </is>
      </c>
      <c r="B16" s="293">
        <f>B5</f>
        <v/>
      </c>
      <c r="C16" s="283" t="inlineStr">
        <is>
          <t># Shares outstanding=</t>
        </is>
      </c>
      <c r="D16" s="287">
        <f>B11</f>
        <v/>
      </c>
      <c r="E16" s="298" t="n"/>
    </row>
    <row r="17" customFormat="1" s="297">
      <c r="A17" s="283" t="inlineStr">
        <is>
          <t>Adjusted S =</t>
        </is>
      </c>
      <c r="B17" s="776">
        <f>(B15*D16+B28*D15)/(D16+D15)</f>
        <v/>
      </c>
      <c r="C17" s="283" t="inlineStr">
        <is>
          <t>T.Bond rate=</t>
        </is>
      </c>
      <c r="D17" s="288">
        <f>B9</f>
        <v/>
      </c>
      <c r="E17" s="188" t="n"/>
    </row>
    <row r="18" customFormat="1" s="297">
      <c r="A18" s="283" t="inlineStr">
        <is>
          <t>Adjusted K =</t>
        </is>
      </c>
      <c r="B18" s="293">
        <f>B16</f>
        <v/>
      </c>
      <c r="C18" s="283" t="inlineStr">
        <is>
          <t>Variance=</t>
        </is>
      </c>
      <c r="D18" s="777">
        <f>B7^2</f>
        <v/>
      </c>
      <c r="E18" s="188" t="n"/>
    </row>
    <row r="19" customFormat="1" s="297">
      <c r="A19" s="283" t="inlineStr">
        <is>
          <t>Expiration (in years) =</t>
        </is>
      </c>
      <c r="B19" s="293">
        <f>B6</f>
        <v/>
      </c>
      <c r="C19" s="283" t="inlineStr">
        <is>
          <t>Annualized dividend yield=</t>
        </is>
      </c>
      <c r="D19" s="288">
        <f>B8</f>
        <v/>
      </c>
      <c r="E19" s="188" t="n"/>
    </row>
    <row r="20" customFormat="1" s="297">
      <c r="A20" s="188" t="n"/>
      <c r="B20" s="188" t="n"/>
      <c r="C20" s="283" t="inlineStr">
        <is>
          <t>Div. Adj. interest rate=</t>
        </is>
      </c>
      <c r="D20" s="290">
        <f>D17-D19</f>
        <v/>
      </c>
      <c r="E20" s="188" t="n"/>
    </row>
    <row r="21" customFormat="1" s="297">
      <c r="A21" s="188" t="n"/>
      <c r="B21" s="188" t="n"/>
      <c r="C21" s="188" t="n"/>
      <c r="D21" s="188" t="n"/>
      <c r="E21" s="188" t="n"/>
      <c r="F21" s="188" t="n"/>
      <c r="G21" s="188" t="n"/>
    </row>
    <row r="22" customFormat="1" s="297">
      <c r="A22" s="188" t="inlineStr">
        <is>
          <t xml:space="preserve">d1 = </t>
        </is>
      </c>
      <c r="B22" s="778">
        <f>(LN(B17/B18)+(D20+(D18/2))*B19)/(((D18)^(0.5))*(B19^0.5))</f>
        <v/>
      </c>
      <c r="C22" s="188" t="n"/>
      <c r="D22" s="188" t="n"/>
      <c r="E22" s="188" t="n"/>
      <c r="F22" s="188" t="n"/>
      <c r="G22" s="188" t="n"/>
    </row>
    <row r="23" customFormat="1" s="297">
      <c r="A23" s="188" t="inlineStr">
        <is>
          <t>N (d1) =</t>
        </is>
      </c>
      <c r="B23" s="778">
        <f>NORMSDIST(B22)</f>
        <v/>
      </c>
      <c r="C23" s="188" t="n"/>
      <c r="D23" s="188" t="n"/>
      <c r="E23" s="188" t="n"/>
      <c r="F23" s="188" t="n"/>
      <c r="G23" s="188" t="n"/>
    </row>
    <row r="24" customFormat="1" s="297">
      <c r="A24" s="188" t="n"/>
      <c r="B24" s="291" t="n"/>
      <c r="C24" s="188" t="n"/>
      <c r="D24" s="188" t="n"/>
      <c r="E24" s="188" t="n"/>
      <c r="F24" s="188" t="n"/>
      <c r="G24" s="188" t="n"/>
    </row>
    <row r="25" ht="15.75" customFormat="1" customHeight="1" s="297">
      <c r="A25" s="188" t="inlineStr">
        <is>
          <t xml:space="preserve">d2 = </t>
        </is>
      </c>
      <c r="B25" s="778">
        <f>B22-((D18^0.5)*(B19^(0.5)))</f>
        <v/>
      </c>
      <c r="C25" s="188" t="n"/>
      <c r="D25" s="188" t="n"/>
      <c r="E25" s="188" t="n"/>
      <c r="F25" s="188" t="n"/>
      <c r="G25" s="188" t="n"/>
    </row>
    <row r="26" customFormat="1" s="297">
      <c r="A26" s="188" t="inlineStr">
        <is>
          <t>N (d2) =</t>
        </is>
      </c>
      <c r="B26" s="778">
        <f>NORMSDIST(B25)</f>
        <v/>
      </c>
      <c r="C26" s="188" t="n"/>
      <c r="D26" s="188" t="n"/>
      <c r="E26" s="188" t="n"/>
      <c r="F26" s="188" t="n"/>
      <c r="G26" s="188" t="n"/>
    </row>
    <row r="27" ht="17" customFormat="1" customHeight="1" s="295" thickBot="1">
      <c r="A27" s="188" t="n"/>
      <c r="B27" s="188" t="n"/>
      <c r="C27" s="188" t="n"/>
      <c r="D27" s="188" t="n"/>
      <c r="E27" s="188" t="n"/>
      <c r="F27" s="188" t="n"/>
      <c r="G27" s="188" t="n"/>
    </row>
    <row r="28" ht="17" customFormat="1" customHeight="1" s="297" thickBot="1">
      <c r="A28" s="188" t="inlineStr">
        <is>
          <t xml:space="preserve">Value per option = </t>
        </is>
      </c>
      <c r="B28" s="779">
        <f>((EXP((0-D19)*B19))*B17*B23-B18*(EXP((0-D17)*B19))*B26)</f>
        <v/>
      </c>
      <c r="C28" s="188" t="n"/>
      <c r="D28" s="188" t="n"/>
      <c r="E28" s="188" t="n"/>
      <c r="F28" s="780" t="n"/>
    </row>
    <row r="29" ht="17" customFormat="1" customHeight="1" s="297" thickBot="1">
      <c r="A29" s="188" t="inlineStr">
        <is>
          <t>Value of all options outstanding =</t>
        </is>
      </c>
      <c r="B29" s="781">
        <f>B28*B10</f>
        <v/>
      </c>
      <c r="C29" s="188" t="n"/>
      <c r="D29" s="188" t="n"/>
      <c r="E29" s="18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86" zoomScaleNormal="100" workbookViewId="0">
      <selection activeCell="G41" sqref="G41:H56"/>
    </sheetView>
  </sheetViews>
  <sheetFormatPr baseColWidth="10" defaultRowHeight="16"/>
  <cols>
    <col width="11.1640625" bestFit="1" customWidth="1" style="188" min="1" max="4"/>
    <col width="10.83203125" customWidth="1" style="188" min="5" max="5"/>
    <col width="12.83203125" bestFit="1" customWidth="1" style="188" min="6" max="6"/>
    <col width="10.83203125" customWidth="1" style="188" min="7" max="7"/>
    <col width="11.1640625" bestFit="1" customWidth="1" style="188" min="8" max="8"/>
    <col width="10.83203125" customWidth="1" style="188" min="9" max="10"/>
    <col width="11.1640625" bestFit="1" customWidth="1" style="188" min="11" max="20"/>
  </cols>
  <sheetData>
    <row r="1">
      <c r="A1" s="782" t="inlineStr">
        <is>
          <t>If you have negative operating income, this spreadsheet will offer you a D rating. Do not use that rating as your cost of debt for a going concern. Insread give your company a low, but going concern rating like BB and use that cost of debt.</t>
        </is>
      </c>
      <c r="B1" s="679" t="n"/>
      <c r="C1" s="679" t="n"/>
      <c r="D1" s="679" t="n"/>
      <c r="E1" s="679" t="n"/>
      <c r="F1" s="679" t="n"/>
      <c r="G1" s="679" t="n"/>
      <c r="H1" s="679" t="n"/>
      <c r="I1" s="679" t="n"/>
      <c r="J1" s="679" t="n"/>
      <c r="K1" s="679" t="n"/>
      <c r="L1" s="680" t="n"/>
    </row>
    <row r="2" ht="21" customHeight="1" thickBot="1">
      <c r="A2" s="685" t="n"/>
      <c r="B2" s="686" t="n"/>
      <c r="C2" s="686" t="n"/>
      <c r="D2" s="686" t="n"/>
      <c r="E2" s="686" t="n"/>
      <c r="F2" s="686" t="n"/>
      <c r="G2" s="686" t="n"/>
      <c r="H2" s="686" t="n"/>
      <c r="I2" s="686" t="n"/>
      <c r="J2" s="686" t="n"/>
      <c r="K2" s="686" t="n"/>
      <c r="L2" s="687" t="n"/>
    </row>
    <row r="4">
      <c r="A4" s="236" t="inlineStr">
        <is>
          <t>Inputs for synthetic rating estimation</t>
        </is>
      </c>
    </row>
    <row r="5">
      <c r="A5" s="236" t="inlineStr">
        <is>
          <t>Please read the special cases worksheet (see below) before you use this spreadsheet.</t>
        </is>
      </c>
    </row>
    <row r="6" ht="17" customFormat="1" customHeight="1" s="73" thickBot="1">
      <c r="A6" s="281" t="inlineStr">
        <is>
          <t>Before you use this spreadsheet, make sure that the iteration box (under calculation options in excel) is checked.</t>
        </is>
      </c>
      <c r="B6" s="282" t="n"/>
      <c r="C6" s="282" t="n"/>
      <c r="D6" s="282" t="n"/>
      <c r="E6" s="282" t="n"/>
      <c r="F6" s="282" t="n"/>
      <c r="G6" s="282" t="n"/>
      <c r="H6" s="282" t="n"/>
      <c r="I6" s="282" t="n"/>
      <c r="J6" s="282" t="n"/>
      <c r="K6" s="282" t="n"/>
      <c r="L6" s="282" t="n"/>
      <c r="M6" s="282" t="n"/>
      <c r="N6" s="282" t="n"/>
      <c r="O6" s="282" t="n"/>
      <c r="P6" s="282" t="n"/>
      <c r="Q6" s="282" t="n"/>
      <c r="R6" s="282" t="n"/>
      <c r="S6" s="282" t="n"/>
      <c r="T6" s="282" t="n"/>
    </row>
    <row r="7" ht="17" customFormat="1" customHeight="1" s="74" thickBot="1">
      <c r="A7" s="188" t="inlineStr">
        <is>
          <t>Enter the type of firm =</t>
        </is>
      </c>
      <c r="B7" s="188" t="n"/>
      <c r="C7" s="383">
        <f>'Cost of capital worksheet'!B36</f>
        <v/>
      </c>
      <c r="D7" s="188" t="n"/>
      <c r="E7" s="188" t="n"/>
      <c r="F7" s="188" t="n"/>
      <c r="G7" s="188" t="n"/>
      <c r="H7" s="188" t="n"/>
      <c r="I7" s="188" t="n"/>
      <c r="J7" s="188" t="n"/>
      <c r="K7" s="188" t="n"/>
      <c r="L7" s="188" t="n"/>
      <c r="M7" s="188" t="n"/>
      <c r="N7" s="188" t="n"/>
      <c r="O7" s="188" t="n"/>
      <c r="P7" s="188" t="n"/>
      <c r="Q7" s="188" t="n"/>
      <c r="R7" s="188" t="n"/>
      <c r="S7" s="188" t="n"/>
      <c r="T7" s="188" t="n"/>
    </row>
    <row r="8" ht="17" customFormat="1" customHeight="1" s="74" thickBot="1">
      <c r="A8" s="188" t="inlineStr">
        <is>
          <t>Enter current Earnings before interest and taxes (EBIT) =</t>
        </is>
      </c>
      <c r="B8" s="188" t="n"/>
      <c r="C8" s="188" t="n"/>
      <c r="D8" s="188" t="n"/>
      <c r="E8" s="188" t="n"/>
      <c r="F8" s="783">
        <f>IF('Input sheet'!B17="Yes",'Input sheet'!B12+'Operating lease converter'!F32,'Input sheet'!B12)</f>
        <v/>
      </c>
      <c r="G8" s="188" t="inlineStr">
        <is>
          <t>(Add back only long term interest expense for financial firms)</t>
        </is>
      </c>
      <c r="H8" s="188" t="n"/>
      <c r="I8" s="188" t="n"/>
      <c r="J8" s="188" t="n"/>
      <c r="K8" s="188" t="n"/>
      <c r="L8" s="188" t="n"/>
      <c r="M8" s="188" t="n"/>
      <c r="N8" s="188" t="n"/>
      <c r="O8" s="188" t="n"/>
      <c r="P8" s="188" t="n"/>
      <c r="Q8" s="188" t="n"/>
      <c r="R8" s="188" t="n"/>
      <c r="S8" s="188" t="n"/>
      <c r="T8" s="188" t="n"/>
    </row>
    <row r="9" ht="17" customFormat="1" customHeight="1" s="74" thickBot="1">
      <c r="A9" s="188" t="inlineStr">
        <is>
          <t>Enter current interest expenses =</t>
        </is>
      </c>
      <c r="B9" s="188" t="n"/>
      <c r="C9" s="188" t="n"/>
      <c r="D9" s="188" t="n"/>
      <c r="E9" s="188" t="n"/>
      <c r="F9" s="784">
        <f>IF('Input sheet'!B17="Yes",'Cost of capital worksheet'!B31+'Operating lease converter'!C28*'Operating lease converter'!C15,'Cost of capital worksheet'!B31)</f>
        <v/>
      </c>
      <c r="G9" s="188" t="inlineStr">
        <is>
          <t>(Use only long term interest expense for financial firms)</t>
        </is>
      </c>
      <c r="H9" s="188" t="n"/>
      <c r="I9" s="188" t="n"/>
      <c r="J9" s="188" t="n"/>
      <c r="K9" s="188" t="n"/>
      <c r="L9" s="188" t="n"/>
      <c r="M9" s="188" t="n"/>
      <c r="N9" s="188" t="n"/>
      <c r="O9" s="188" t="n"/>
      <c r="P9" s="188" t="n"/>
      <c r="Q9" s="188" t="n"/>
      <c r="R9" s="188" t="n"/>
      <c r="S9" s="188" t="n"/>
      <c r="T9" s="188" t="n"/>
    </row>
    <row r="10" ht="17" customFormat="1" customHeight="1" s="74" thickBot="1">
      <c r="A10" s="188" t="inlineStr">
        <is>
          <t>Enter long term risk free rate  =</t>
        </is>
      </c>
      <c r="B10" s="188" t="n"/>
      <c r="C10" s="188" t="n"/>
      <c r="D10" s="188" t="n"/>
      <c r="E10" s="188" t="n"/>
      <c r="F10" s="308">
        <f>'Input sheet'!B34</f>
        <v/>
      </c>
      <c r="G10" s="188" t="n"/>
      <c r="H10" s="188" t="n"/>
      <c r="I10" s="188" t="n"/>
      <c r="J10" s="188" t="n"/>
      <c r="K10" s="188" t="n"/>
      <c r="L10" s="188" t="n"/>
      <c r="M10" s="188" t="n"/>
      <c r="N10" s="188" t="n"/>
      <c r="O10" s="188" t="n"/>
      <c r="P10" s="188" t="n"/>
      <c r="Q10" s="188" t="n"/>
      <c r="R10" s="188" t="n"/>
      <c r="S10" s="188" t="n"/>
      <c r="T10" s="188" t="n"/>
    </row>
    <row r="11" ht="17" customFormat="1" customHeight="1" s="74" thickBot="1">
      <c r="A11" s="236" t="inlineStr">
        <is>
          <t>Output</t>
        </is>
      </c>
      <c r="B11" s="188" t="n"/>
      <c r="C11" s="188" t="n"/>
      <c r="D11" s="188" t="n"/>
      <c r="E11" s="188" t="n"/>
      <c r="F11" s="188" t="n"/>
      <c r="G11" s="188" t="n"/>
      <c r="H11" s="188" t="n"/>
      <c r="I11" s="188" t="n"/>
      <c r="J11" s="188" t="n"/>
      <c r="K11" s="188" t="n"/>
      <c r="L11" s="188" t="n"/>
      <c r="M11" s="188" t="n"/>
      <c r="N11" s="188" t="n"/>
      <c r="O11" s="188" t="n"/>
      <c r="P11" s="188" t="n"/>
      <c r="Q11" s="188" t="n"/>
      <c r="R11" s="188" t="n"/>
      <c r="S11" s="188" t="n"/>
      <c r="T11" s="188" t="n"/>
    </row>
    <row r="12" ht="17" customFormat="1" customHeight="1" s="74" thickBot="1">
      <c r="A12" s="188" t="inlineStr">
        <is>
          <t>Interest  coverage ratio =</t>
        </is>
      </c>
      <c r="B12" s="188" t="n"/>
      <c r="C12" s="188" t="n"/>
      <c r="D12" s="309">
        <f>IF(F9=0,1000000,IF(F8&lt;0,-100000,F8/F9))</f>
        <v/>
      </c>
      <c r="E12" s="188" t="n"/>
      <c r="F12" s="188" t="n"/>
      <c r="G12" s="188" t="n"/>
      <c r="H12" s="188" t="n"/>
      <c r="I12" s="188" t="n"/>
      <c r="J12" s="188" t="n"/>
      <c r="K12" s="188" t="n"/>
      <c r="L12" s="188" t="n"/>
      <c r="M12" s="188" t="n"/>
      <c r="N12" s="188" t="n"/>
      <c r="O12" s="188" t="n"/>
      <c r="P12" s="188" t="n"/>
      <c r="Q12" s="188" t="n"/>
      <c r="R12" s="188" t="n"/>
      <c r="S12" s="188" t="n"/>
      <c r="T12" s="188" t="n"/>
    </row>
    <row r="13" ht="17" customFormat="1" customHeight="1" s="74" thickBot="1">
      <c r="A13" s="188" t="inlineStr">
        <is>
          <t>Estimated Bond Rating =</t>
        </is>
      </c>
      <c r="B13" s="188" t="n"/>
      <c r="C13" s="188" t="n"/>
      <c r="D13" s="310">
        <f>IF(C7=1,VLOOKUP(D12,A22:D36,3),(IF(C7=2,VLOOKUP(D12,A41:D55,3),VLOOKUP(D12,F22:I36,3))))</f>
        <v/>
      </c>
      <c r="E13" s="188" t="n"/>
      <c r="F13" s="282" t="inlineStr">
        <is>
          <t>Note: If you get REF! All over the place, set the operating lease commitment question in cell F5</t>
        </is>
      </c>
      <c r="G13" s="188" t="n"/>
      <c r="H13" s="188" t="n"/>
      <c r="I13" s="188" t="n"/>
      <c r="J13" s="188" t="n"/>
      <c r="K13" s="188" t="n"/>
      <c r="L13" s="188" t="n"/>
      <c r="M13" s="188" t="n"/>
      <c r="N13" s="188" t="n"/>
      <c r="O13" s="188" t="n"/>
      <c r="P13" s="188" t="n"/>
      <c r="Q13" s="188" t="n"/>
      <c r="R13" s="188" t="n"/>
      <c r="S13" s="188" t="n"/>
      <c r="T13" s="188" t="n"/>
    </row>
    <row r="14" ht="17" customFormat="1" customHeight="1" s="74" thickBot="1">
      <c r="A14" s="188" t="inlineStr">
        <is>
          <t>Estimated Company Default Spread =</t>
        </is>
      </c>
      <c r="B14" s="188" t="n"/>
      <c r="C14" s="188" t="n"/>
      <c r="D14" s="311">
        <f>IF(C7=1,VLOOKUP(D12,A22:D36,4),(IF(C7=2,VLOOKUP(D12,A41:D55,4),VLOOKUP(D12,F22:I36,4))))</f>
        <v/>
      </c>
      <c r="E14" s="188" t="n"/>
      <c r="F14" s="282" t="inlineStr">
        <is>
          <t>to No, and then reset it to Yes. It should work.</t>
        </is>
      </c>
      <c r="G14" s="188" t="n"/>
      <c r="H14" s="188" t="n"/>
      <c r="I14" s="188" t="n"/>
      <c r="J14" s="188" t="n"/>
      <c r="K14" s="188" t="n"/>
      <c r="L14" s="188" t="n"/>
      <c r="M14" s="188" t="n"/>
      <c r="N14" s="188" t="n"/>
      <c r="O14" s="188" t="n"/>
      <c r="P14" s="188" t="n"/>
      <c r="Q14" s="188" t="n"/>
      <c r="R14" s="188" t="n"/>
      <c r="S14" s="188" t="n"/>
      <c r="T14" s="188" t="n"/>
    </row>
    <row r="15" ht="17" customFormat="1" customHeight="1" s="74" thickBot="1">
      <c r="A15" s="188" t="inlineStr">
        <is>
          <t>Estimated County Default Spread (if any) =</t>
        </is>
      </c>
      <c r="B15" s="188" t="n"/>
      <c r="C15" s="188" t="n"/>
      <c r="D15" s="311">
        <f>VLOOKUP('Input sheet'!B7,'Country equity risk premiums'!A5:C196,3)</f>
        <v/>
      </c>
      <c r="E15" s="188" t="n"/>
      <c r="F15" s="282" t="n"/>
      <c r="G15" s="188" t="n"/>
      <c r="H15" s="188" t="n"/>
      <c r="I15" s="188" t="n"/>
      <c r="J15" s="188" t="n"/>
      <c r="K15" s="188" t="n"/>
      <c r="L15" s="188" t="n"/>
      <c r="M15" s="188" t="n"/>
      <c r="N15" s="188" t="n"/>
      <c r="O15" s="188" t="n"/>
      <c r="P15" s="188" t="n"/>
      <c r="Q15" s="188" t="n"/>
      <c r="R15" s="188" t="n"/>
      <c r="S15" s="188" t="n"/>
      <c r="T15" s="188" t="n"/>
    </row>
    <row r="16" ht="17" customFormat="1" customHeight="1" s="6" thickBot="1">
      <c r="A16" s="188" t="inlineStr">
        <is>
          <t>Estimated Cost of Debt =</t>
        </is>
      </c>
      <c r="B16" s="188" t="n"/>
      <c r="C16" s="188" t="n"/>
      <c r="D16" s="312">
        <f>F10+D14+D15</f>
        <v/>
      </c>
      <c r="E16" s="188" t="n"/>
      <c r="F16" s="188" t="n"/>
      <c r="G16" s="188" t="n"/>
      <c r="H16" s="188" t="n"/>
      <c r="I16" s="188" t="n"/>
      <c r="J16" s="188" t="n"/>
      <c r="K16" s="188" t="n"/>
      <c r="L16" s="188" t="n"/>
      <c r="M16" s="188" t="n"/>
      <c r="N16" s="188" t="n"/>
      <c r="O16" s="188" t="n"/>
      <c r="P16" s="188" t="n"/>
      <c r="Q16" s="188" t="n"/>
      <c r="R16" s="188" t="n"/>
      <c r="S16" s="188" t="n"/>
      <c r="T16" s="188" t="n"/>
    </row>
    <row r="17" customFormat="1" s="6">
      <c r="A17" s="188" t="n"/>
      <c r="B17" s="188" t="n"/>
      <c r="C17" s="188" t="n"/>
      <c r="D17" s="313" t="n"/>
      <c r="E17" s="188" t="n"/>
      <c r="F17" s="188" t="n"/>
      <c r="G17" s="188" t="n"/>
      <c r="H17" s="188" t="n"/>
      <c r="I17" s="188" t="n"/>
      <c r="J17" s="188" t="n"/>
      <c r="K17" s="188" t="n"/>
      <c r="L17" s="188" t="n"/>
      <c r="M17" s="188" t="n"/>
      <c r="N17" s="188" t="n"/>
      <c r="O17" s="188" t="n"/>
      <c r="P17" s="188" t="n"/>
      <c r="Q17" s="188" t="n"/>
      <c r="R17" s="188" t="n"/>
      <c r="S17" s="188" t="n"/>
      <c r="T17" s="188" t="n"/>
    </row>
    <row r="18" ht="17" customFormat="1" customHeight="1" s="9" thickBot="1">
      <c r="A18" s="282" t="inlineStr">
        <is>
          <t xml:space="preserve"> If you want to update the spreads listed below, please visit http://www.bondsonline.com</t>
        </is>
      </c>
      <c r="B18" s="282" t="n"/>
      <c r="C18" s="282" t="n"/>
      <c r="D18" s="314" t="n"/>
      <c r="E18" s="282" t="n"/>
      <c r="F18" s="282" t="n"/>
      <c r="G18" s="282" t="n"/>
      <c r="H18" s="282" t="n"/>
      <c r="I18" s="282" t="n"/>
      <c r="J18" s="282" t="n"/>
      <c r="K18" s="282" t="n"/>
      <c r="L18" s="282" t="n"/>
      <c r="M18" s="282" t="n"/>
      <c r="N18" s="282" t="n"/>
      <c r="O18" s="282" t="n"/>
      <c r="P18" s="282" t="n"/>
      <c r="Q18" s="282" t="n"/>
      <c r="R18" s="282" t="n"/>
      <c r="S18" s="282" t="n"/>
      <c r="T18" s="282" t="n"/>
    </row>
    <row r="19" ht="17" customFormat="1" customHeight="1" s="74" thickBot="1">
      <c r="A19" s="236" t="inlineStr">
        <is>
          <t>For large manufacturing firms</t>
        </is>
      </c>
      <c r="B19" s="188" t="n"/>
      <c r="C19" s="188" t="n"/>
      <c r="D19" s="188" t="n"/>
      <c r="E19" s="188" t="n"/>
      <c r="F19" s="188" t="n"/>
      <c r="G19" s="188" t="n"/>
      <c r="H19" s="188" t="n"/>
      <c r="I19" s="188" t="n"/>
      <c r="J19" s="785" t="inlineStr">
        <is>
          <t>Default Probabilities over time (1 - 10 year time horizons)</t>
        </is>
      </c>
      <c r="K19" s="746" t="n"/>
      <c r="L19" s="746" t="n"/>
      <c r="M19" s="746" t="n"/>
      <c r="N19" s="746" t="n"/>
      <c r="O19" s="746" t="n"/>
      <c r="P19" s="746" t="n"/>
      <c r="Q19" s="746" t="n"/>
      <c r="R19" s="746" t="n"/>
      <c r="S19" s="746" t="n"/>
      <c r="T19" s="773" t="n"/>
    </row>
    <row r="20" customFormat="1" s="74">
      <c r="A20" s="315" t="inlineStr">
        <is>
          <t>If interest coverage ratio is</t>
        </is>
      </c>
      <c r="B20" s="315" t="n"/>
      <c r="C20" s="316" t="n"/>
      <c r="D20" s="316" t="n"/>
      <c r="E20" s="188" t="n"/>
      <c r="F20" s="188" t="n"/>
      <c r="G20" s="188" t="n"/>
      <c r="H20" s="188" t="n"/>
      <c r="I20" s="188" t="n"/>
      <c r="J20" s="302" t="inlineStr">
        <is>
          <t>Rating</t>
        </is>
      </c>
      <c r="K20" s="303" t="n">
        <v>1</v>
      </c>
      <c r="L20" s="303" t="n">
        <v>2</v>
      </c>
      <c r="M20" s="303" t="n">
        <v>3</v>
      </c>
      <c r="N20" s="303" t="n">
        <v>4</v>
      </c>
      <c r="O20" s="303" t="n">
        <v>5</v>
      </c>
      <c r="P20" s="303" t="n">
        <v>6</v>
      </c>
      <c r="Q20" s="303" t="n">
        <v>7</v>
      </c>
      <c r="R20" s="303" t="n">
        <v>8</v>
      </c>
      <c r="S20" s="303" t="n">
        <v>9</v>
      </c>
      <c r="T20" s="303" t="n">
        <v>10</v>
      </c>
    </row>
    <row r="21" customFormat="1" s="74">
      <c r="A21" s="317" t="inlineStr">
        <is>
          <t>&gt;</t>
        </is>
      </c>
      <c r="B21" s="317" t="inlineStr">
        <is>
          <t>≤ to</t>
        </is>
      </c>
      <c r="C21" s="317" t="inlineStr">
        <is>
          <t>Rating is</t>
        </is>
      </c>
      <c r="D21" s="317" t="inlineStr">
        <is>
          <t>Spread is</t>
        </is>
      </c>
      <c r="E21" s="188" t="n"/>
      <c r="F21" s="188" t="n"/>
      <c r="G21" s="188" t="n"/>
      <c r="H21" s="188" t="n"/>
      <c r="I21" s="188" t="n"/>
      <c r="J21" s="304" t="inlineStr">
        <is>
          <t>AAA</t>
        </is>
      </c>
      <c r="K21" s="305" t="n">
        <v>0</v>
      </c>
      <c r="L21" s="305" t="n">
        <v>0.0003</v>
      </c>
      <c r="M21" s="305" t="n">
        <v>0.0013</v>
      </c>
      <c r="N21" s="305" t="n">
        <v>0.0024</v>
      </c>
      <c r="O21" s="305" t="n">
        <v>0.0035</v>
      </c>
      <c r="P21" s="305" t="n">
        <v>0.004500000000000001</v>
      </c>
      <c r="Q21" s="305" t="n">
        <v>0.0051</v>
      </c>
      <c r="R21" s="305" t="n">
        <v>0.0059</v>
      </c>
      <c r="S21" s="305" t="n">
        <v>0.0064</v>
      </c>
      <c r="T21" s="305" t="n">
        <v>0.006999999999999999</v>
      </c>
    </row>
    <row r="22" customFormat="1" s="74">
      <c r="A22" s="286" t="n">
        <v>-100000</v>
      </c>
      <c r="B22" s="286" t="n">
        <v>0.199999</v>
      </c>
      <c r="C22" s="286" t="inlineStr">
        <is>
          <t>D2/D</t>
        </is>
      </c>
      <c r="D22" s="494" t="n">
        <v>0.19</v>
      </c>
      <c r="E22" s="188" t="n"/>
      <c r="F22" s="188" t="n"/>
      <c r="G22" s="188" t="n"/>
      <c r="H22" s="188" t="n"/>
      <c r="I22" s="188" t="n"/>
      <c r="J22" s="304" t="inlineStr">
        <is>
          <t>AA</t>
        </is>
      </c>
      <c r="K22" s="305" t="n">
        <v>0.0002</v>
      </c>
      <c r="L22" s="305" t="n">
        <v>0.0005999999999999999</v>
      </c>
      <c r="M22" s="305" t="n">
        <v>0.0012</v>
      </c>
      <c r="N22" s="305" t="n">
        <v>0.0021</v>
      </c>
      <c r="O22" s="305" t="n">
        <v>0.0031</v>
      </c>
      <c r="P22" s="305" t="n">
        <v>0.0042</v>
      </c>
      <c r="Q22" s="305" t="n">
        <v>0.005</v>
      </c>
      <c r="R22" s="305" t="n">
        <v>0.0058</v>
      </c>
      <c r="S22" s="305" t="n">
        <v>0.006500000000000001</v>
      </c>
      <c r="T22" s="305" t="n">
        <v>0.0072</v>
      </c>
    </row>
    <row r="23" customFormat="1" s="74">
      <c r="A23" s="286" t="n">
        <v>0.2</v>
      </c>
      <c r="B23" s="286" t="n">
        <v>0.649999</v>
      </c>
      <c r="C23" s="286" t="inlineStr">
        <is>
          <t>C2/C</t>
        </is>
      </c>
      <c r="D23" s="494" t="n">
        <v>0.16</v>
      </c>
      <c r="E23" s="188" t="n"/>
      <c r="F23" s="286" t="n"/>
      <c r="G23" s="188" t="n"/>
      <c r="H23" s="188" t="n"/>
      <c r="I23" s="188" t="n"/>
      <c r="J23" s="304" t="inlineStr">
        <is>
          <t>A</t>
        </is>
      </c>
      <c r="K23" s="305" t="n">
        <v>0.0005</v>
      </c>
      <c r="L23" s="305" t="n">
        <v>0.0014</v>
      </c>
      <c r="M23" s="305" t="n">
        <v>0.0023</v>
      </c>
      <c r="N23" s="305" t="n">
        <v>0.0035</v>
      </c>
      <c r="O23" s="305" t="n">
        <v>0.004699999999999999</v>
      </c>
      <c r="P23" s="305" t="n">
        <v>0.0062</v>
      </c>
      <c r="Q23" s="305" t="n">
        <v>0.007900000000000001</v>
      </c>
      <c r="R23" s="305" t="n">
        <v>0.009300000000000001</v>
      </c>
      <c r="S23" s="305" t="n">
        <v>0.0108</v>
      </c>
      <c r="T23" s="305" t="n">
        <v>0.0124</v>
      </c>
    </row>
    <row r="24" customFormat="1" s="74">
      <c r="A24" s="286" t="n">
        <v>0.65</v>
      </c>
      <c r="B24" s="286" t="n">
        <v>0.799999</v>
      </c>
      <c r="C24" s="286" t="inlineStr">
        <is>
          <t>Ca2/CC</t>
        </is>
      </c>
      <c r="D24" s="494" t="n">
        <v>0.126101</v>
      </c>
      <c r="E24" s="188" t="n"/>
      <c r="F24" s="188" t="n"/>
      <c r="G24" s="188" t="n"/>
      <c r="H24" s="188" t="n"/>
      <c r="I24" s="188" t="n"/>
      <c r="J24" s="304" t="inlineStr">
        <is>
          <t>BBB</t>
        </is>
      </c>
      <c r="K24" s="305" t="n">
        <v>0.0016</v>
      </c>
      <c r="L24" s="305" t="n">
        <v>0.004500000000000001</v>
      </c>
      <c r="M24" s="305" t="n">
        <v>0.007800000000000001</v>
      </c>
      <c r="N24" s="305" t="n">
        <v>0.0117</v>
      </c>
      <c r="O24" s="305" t="n">
        <v>0.0158</v>
      </c>
      <c r="P24" s="305" t="n">
        <v>0.0198</v>
      </c>
      <c r="Q24" s="305" t="n">
        <v>0.0233</v>
      </c>
      <c r="R24" s="305" t="n">
        <v>0.0267</v>
      </c>
      <c r="S24" s="305" t="n">
        <v>0.03</v>
      </c>
      <c r="T24" s="305" t="n">
        <v>0.0332</v>
      </c>
    </row>
    <row r="25" customFormat="1" s="74">
      <c r="A25" s="286" t="n">
        <v>0.8</v>
      </c>
      <c r="B25" s="286" t="n">
        <v>1.249999</v>
      </c>
      <c r="C25" s="286" t="inlineStr">
        <is>
          <t>Caa/CCC</t>
        </is>
      </c>
      <c r="D25" s="494" t="n">
        <v>0.0885</v>
      </c>
      <c r="E25" s="188" t="n"/>
      <c r="F25" s="188" t="n"/>
      <c r="G25" s="188" t="n"/>
      <c r="H25" s="188" t="n"/>
      <c r="I25" s="188" t="n"/>
      <c r="J25" s="304" t="inlineStr">
        <is>
          <t>BB</t>
        </is>
      </c>
      <c r="K25" s="305" t="n">
        <v>0.0061</v>
      </c>
      <c r="L25" s="305" t="n">
        <v>0.0192</v>
      </c>
      <c r="M25" s="305" t="n">
        <v>0.0348</v>
      </c>
      <c r="N25" s="305" t="n">
        <v>0.0505</v>
      </c>
      <c r="O25" s="305" t="n">
        <v>0.06519999999999999</v>
      </c>
      <c r="P25" s="305" t="n">
        <v>0.0785</v>
      </c>
      <c r="Q25" s="305" t="n">
        <v>0.0901</v>
      </c>
      <c r="R25" s="305" t="n">
        <v>0.1004</v>
      </c>
      <c r="S25" s="305" t="n">
        <v>0.1097</v>
      </c>
      <c r="T25" s="305" t="n">
        <v>0.1178</v>
      </c>
    </row>
    <row r="26" customFormat="1" s="74">
      <c r="A26" s="286" t="n">
        <v>1.25</v>
      </c>
      <c r="B26" s="286" t="n">
        <v>1.499999</v>
      </c>
      <c r="C26" s="286" t="inlineStr">
        <is>
          <t>B3/B-</t>
        </is>
      </c>
      <c r="D26" s="494" t="n">
        <v>0.050899</v>
      </c>
      <c r="E26" s="188" t="n"/>
      <c r="F26" s="188" t="n"/>
      <c r="G26" s="188" t="n"/>
      <c r="H26" s="188" t="n"/>
      <c r="I26" s="188" t="n"/>
      <c r="J26" s="304" t="inlineStr">
        <is>
          <t>B</t>
        </is>
      </c>
      <c r="K26" s="305" t="n">
        <v>0.0333</v>
      </c>
      <c r="L26" s="305" t="n">
        <v>0.0771</v>
      </c>
      <c r="M26" s="305" t="n">
        <v>0.1155</v>
      </c>
      <c r="N26" s="305" t="n">
        <v>0.1458</v>
      </c>
      <c r="O26" s="305" t="n">
        <v>0.1693</v>
      </c>
      <c r="P26" s="305" t="n">
        <v>0.1883</v>
      </c>
      <c r="Q26" s="305" t="n">
        <v>0.2036</v>
      </c>
      <c r="R26" s="305" t="n">
        <v>0.216</v>
      </c>
      <c r="S26" s="305" t="n">
        <v>0.227</v>
      </c>
      <c r="T26" s="305" t="n">
        <v>0.2374</v>
      </c>
    </row>
    <row r="27" customFormat="1" s="74">
      <c r="A27" s="286" t="n">
        <v>1.5</v>
      </c>
      <c r="B27" s="286" t="n">
        <v>1.749999</v>
      </c>
      <c r="C27" s="286" t="inlineStr">
        <is>
          <t>B2/B</t>
        </is>
      </c>
      <c r="D27" s="494" t="n">
        <v>0.032098</v>
      </c>
      <c r="E27" s="188" t="n"/>
      <c r="F27" s="188" t="n"/>
      <c r="G27" s="188" t="n"/>
      <c r="H27" s="188" t="n"/>
      <c r="I27" s="188" t="n"/>
      <c r="J27" s="304" t="inlineStr">
        <is>
          <t>CCC/C</t>
        </is>
      </c>
      <c r="K27" s="305" t="n">
        <v>0.2708</v>
      </c>
      <c r="L27" s="305" t="n">
        <v>0.3664</v>
      </c>
      <c r="M27" s="305" t="n">
        <v>0.4141</v>
      </c>
      <c r="N27" s="305" t="n">
        <v>0.441</v>
      </c>
      <c r="O27" s="305" t="n">
        <v>0.4619</v>
      </c>
      <c r="P27" s="305" t="n">
        <v>0.4709</v>
      </c>
      <c r="Q27" s="305" t="n">
        <v>0.4826</v>
      </c>
      <c r="R27" s="305" t="n">
        <v>0.4905</v>
      </c>
      <c r="S27" s="305" t="n">
        <v>0.4976</v>
      </c>
      <c r="T27" s="305" t="n">
        <v>0.5038</v>
      </c>
    </row>
    <row r="28" customFormat="1" s="74">
      <c r="A28" s="286" t="n">
        <v>1.75</v>
      </c>
      <c r="B28" s="286" t="n">
        <v>1.999999</v>
      </c>
      <c r="C28" s="286" t="inlineStr">
        <is>
          <t>B1/B+</t>
        </is>
      </c>
      <c r="D28" s="494" t="n">
        <v>0.027531</v>
      </c>
      <c r="E28" s="188" t="n"/>
      <c r="F28" s="188" t="n"/>
      <c r="G28" s="188" t="n"/>
      <c r="H28" s="188" t="n"/>
      <c r="I28" s="188" t="n"/>
      <c r="J28" s="188" t="n"/>
      <c r="K28" s="188" t="n"/>
      <c r="L28" s="188" t="n"/>
      <c r="M28" s="188" t="n"/>
      <c r="N28" s="188" t="n"/>
      <c r="O28" s="188" t="n"/>
      <c r="P28" s="188" t="n"/>
      <c r="Q28" s="188" t="n"/>
      <c r="R28" s="188" t="n"/>
      <c r="S28" s="188" t="n"/>
      <c r="T28" s="188" t="n"/>
    </row>
    <row r="29" customFormat="1" s="74">
      <c r="A29" s="286" t="n">
        <v>2</v>
      </c>
      <c r="B29" s="286" t="n">
        <v>2.2499999</v>
      </c>
      <c r="C29" s="286" t="inlineStr">
        <is>
          <t>Ba2/BB</t>
        </is>
      </c>
      <c r="D29" s="494" t="n">
        <v>0.018395</v>
      </c>
      <c r="E29" s="188" t="n"/>
      <c r="F29" s="188" t="n"/>
      <c r="G29" s="188" t="n"/>
      <c r="H29" s="188" t="n"/>
      <c r="I29" s="188" t="n"/>
      <c r="J29" s="188" t="n"/>
      <c r="K29" s="188" t="n"/>
      <c r="L29" s="188" t="n"/>
      <c r="M29" s="188" t="n"/>
      <c r="N29" s="188" t="n"/>
      <c r="O29" s="188" t="n"/>
      <c r="P29" s="188" t="n"/>
      <c r="Q29" s="188" t="n"/>
      <c r="R29" s="188" t="n"/>
      <c r="S29" s="188" t="n"/>
      <c r="T29" s="188" t="n"/>
    </row>
    <row r="30" customFormat="1" s="74">
      <c r="A30" s="286" t="n">
        <v>2.25</v>
      </c>
      <c r="B30" s="286" t="n">
        <v>2.49999</v>
      </c>
      <c r="C30" s="286" t="inlineStr">
        <is>
          <t>Ba1/BB+</t>
        </is>
      </c>
      <c r="D30" s="494" t="n">
        <v>0.013828</v>
      </c>
      <c r="E30" s="188" t="n"/>
      <c r="F30" s="188" t="n"/>
      <c r="G30" s="188" t="n"/>
      <c r="H30" s="188" t="n"/>
      <c r="I30" s="188" t="n"/>
      <c r="J30" s="188" t="n"/>
      <c r="K30" s="188" t="n"/>
      <c r="L30" s="188" t="n"/>
      <c r="M30" s="188" t="n"/>
      <c r="N30" s="188" t="n"/>
      <c r="O30" s="188" t="n"/>
      <c r="P30" s="188" t="n"/>
      <c r="Q30" s="188" t="n"/>
      <c r="R30" s="188" t="n"/>
      <c r="S30" s="188" t="n"/>
      <c r="T30" s="188" t="n"/>
    </row>
    <row r="31" customFormat="1" s="74">
      <c r="A31" s="286" t="n">
        <v>2.5</v>
      </c>
      <c r="B31" s="286" t="n">
        <v>2.999999</v>
      </c>
      <c r="C31" s="286" t="inlineStr">
        <is>
          <t>Baa2/BBB</t>
        </is>
      </c>
      <c r="D31" s="494" t="n">
        <v>0.011113</v>
      </c>
      <c r="E31" s="188" t="n"/>
      <c r="F31" s="188" t="n"/>
      <c r="G31" s="188" t="n"/>
      <c r="H31" s="188" t="n"/>
      <c r="I31" s="188" t="n"/>
      <c r="J31" s="188" t="n"/>
      <c r="K31" s="188" t="n"/>
      <c r="L31" s="188" t="n"/>
      <c r="M31" s="188" t="n"/>
      <c r="N31" s="188" t="n"/>
      <c r="O31" s="188" t="n"/>
      <c r="P31" s="188" t="n"/>
      <c r="Q31" s="188" t="n"/>
      <c r="R31" s="188" t="n"/>
      <c r="S31" s="188" t="n"/>
      <c r="T31" s="188" t="n"/>
    </row>
    <row r="32" customFormat="1" s="74">
      <c r="A32" s="286" t="n">
        <v>3</v>
      </c>
      <c r="B32" s="286" t="n">
        <v>4.249999</v>
      </c>
      <c r="C32" s="286" t="inlineStr">
        <is>
          <t>A3/A-</t>
        </is>
      </c>
      <c r="D32" s="494" t="n">
        <v>0.008872</v>
      </c>
      <c r="E32" s="188" t="n"/>
      <c r="F32" s="188" t="n"/>
      <c r="G32" s="188" t="n"/>
      <c r="H32" s="188" t="n"/>
      <c r="I32" s="188" t="n"/>
      <c r="J32" s="188" t="n"/>
      <c r="K32" s="188" t="n"/>
      <c r="L32" s="188" t="n"/>
      <c r="M32" s="188" t="n"/>
      <c r="N32" s="188" t="n"/>
      <c r="O32" s="188" t="n"/>
      <c r="P32" s="188" t="n"/>
      <c r="Q32" s="188" t="n"/>
      <c r="R32" s="188" t="n"/>
      <c r="S32" s="188" t="n"/>
      <c r="T32" s="188" t="n"/>
    </row>
    <row r="33" customFormat="1" s="74">
      <c r="A33" s="286" t="n">
        <v>4.25</v>
      </c>
      <c r="B33" s="286" t="n">
        <v>5.499999</v>
      </c>
      <c r="C33" s="286" t="inlineStr">
        <is>
          <t>A2/A</t>
        </is>
      </c>
      <c r="D33" s="494" t="n">
        <v>0.007751000000000001</v>
      </c>
      <c r="E33" s="188" t="n"/>
      <c r="F33" s="188" t="n"/>
      <c r="G33" s="188" t="n"/>
      <c r="H33" s="188" t="n"/>
      <c r="I33" s="188" t="n"/>
      <c r="J33" s="188" t="n"/>
      <c r="K33" s="188" t="n"/>
      <c r="L33" s="188" t="n"/>
      <c r="M33" s="188" t="n"/>
      <c r="N33" s="188" t="n"/>
      <c r="O33" s="188" t="n"/>
      <c r="P33" s="188" t="n"/>
      <c r="Q33" s="188" t="n"/>
      <c r="R33" s="188" t="n"/>
      <c r="S33" s="188" t="n"/>
      <c r="T33" s="188" t="n"/>
    </row>
    <row r="34" customFormat="1" s="74">
      <c r="A34" s="286" t="n">
        <v>5.5</v>
      </c>
      <c r="B34" s="286" t="n">
        <v>6.499999</v>
      </c>
      <c r="C34" s="286" t="inlineStr">
        <is>
          <t>A1/A+</t>
        </is>
      </c>
      <c r="D34" s="494" t="n">
        <v>0.007003000000000001</v>
      </c>
      <c r="E34" s="188" t="n"/>
      <c r="F34" s="188" t="n"/>
      <c r="G34" s="188" t="n"/>
      <c r="H34" s="188" t="n"/>
      <c r="I34" s="188" t="n"/>
      <c r="J34" s="188" t="n"/>
      <c r="K34" s="188" t="n"/>
      <c r="L34" s="188" t="n"/>
      <c r="M34" s="188" t="n"/>
      <c r="N34" s="188" t="n"/>
      <c r="O34" s="188" t="n"/>
      <c r="P34" s="188" t="n"/>
      <c r="Q34" s="188" t="n"/>
      <c r="R34" s="188" t="n"/>
      <c r="S34" s="188" t="n"/>
      <c r="T34" s="188" t="n"/>
    </row>
    <row r="35" customFormat="1" s="74">
      <c r="A35" s="286" t="n">
        <v>6.5</v>
      </c>
      <c r="B35" s="286" t="n">
        <v>8.499999000000001</v>
      </c>
      <c r="C35" s="286" t="inlineStr">
        <is>
          <t>Aa2/AA</t>
        </is>
      </c>
      <c r="D35" s="494" t="n">
        <v>0.005506</v>
      </c>
      <c r="E35" s="188" t="n"/>
      <c r="F35" s="188" t="n"/>
      <c r="G35" s="188" t="n"/>
      <c r="H35" s="188" t="n"/>
      <c r="I35" s="188" t="n"/>
      <c r="J35" s="188" t="n"/>
      <c r="K35" s="188" t="n"/>
      <c r="L35" s="188" t="n"/>
      <c r="M35" s="188" t="n"/>
      <c r="N35" s="188" t="n"/>
      <c r="O35" s="188" t="n"/>
      <c r="P35" s="188" t="n"/>
      <c r="Q35" s="188" t="n"/>
      <c r="R35" s="188" t="n"/>
      <c r="S35" s="188" t="n"/>
      <c r="T35" s="188" t="n"/>
    </row>
    <row r="36" customFormat="1" s="74">
      <c r="A36" s="318" t="n">
        <v>8.5</v>
      </c>
      <c r="B36" s="286" t="n">
        <v>100000</v>
      </c>
      <c r="C36" s="286" t="inlineStr">
        <is>
          <t>Aaa/AAA</t>
        </is>
      </c>
      <c r="D36" s="494" t="n">
        <v>0.004</v>
      </c>
      <c r="E36" s="188" t="n"/>
      <c r="F36" s="188" t="n"/>
      <c r="G36" s="188" t="n"/>
      <c r="H36" s="188" t="n"/>
      <c r="I36" s="188" t="n"/>
      <c r="J36" s="188" t="n"/>
      <c r="K36" s="188" t="n"/>
      <c r="L36" s="188" t="n"/>
      <c r="M36" s="188" t="n"/>
      <c r="N36" s="188" t="n"/>
      <c r="O36" s="188" t="n"/>
      <c r="P36" s="188" t="n"/>
      <c r="Q36" s="188" t="n"/>
      <c r="R36" s="188" t="n"/>
      <c r="S36" s="188" t="n"/>
      <c r="T36" s="188" t="n"/>
    </row>
    <row r="37" customFormat="1" s="74">
      <c r="A37" s="188" t="n"/>
      <c r="B37" s="188" t="n"/>
      <c r="C37" s="188" t="n"/>
      <c r="D37" s="188" t="n"/>
      <c r="E37" s="188" t="n"/>
      <c r="F37" s="188" t="n"/>
      <c r="G37" s="188" t="n"/>
      <c r="H37" s="188" t="n"/>
      <c r="I37" s="188" t="n"/>
      <c r="J37" s="188" t="n"/>
      <c r="K37" s="188" t="n"/>
      <c r="L37" s="188" t="n"/>
      <c r="M37" s="188" t="n"/>
      <c r="N37" s="188" t="n"/>
      <c r="O37" s="188" t="n"/>
      <c r="P37" s="188" t="n"/>
      <c r="Q37" s="188" t="n"/>
      <c r="R37" s="188" t="n"/>
      <c r="S37" s="188" t="n"/>
      <c r="T37" s="188" t="n"/>
    </row>
    <row r="38" customFormat="1" s="74">
      <c r="A38" s="236" t="inlineStr">
        <is>
          <t>For smaller and riskier firms</t>
        </is>
      </c>
      <c r="B38" s="188" t="n"/>
      <c r="C38" s="188" t="n"/>
      <c r="D38" s="188" t="n"/>
      <c r="E38" s="188" t="n"/>
      <c r="F38" s="188" t="n"/>
      <c r="G38" s="188" t="n"/>
      <c r="H38" s="188" t="n"/>
      <c r="I38" s="188" t="n"/>
      <c r="J38" s="188" t="n"/>
      <c r="K38" s="188" t="n"/>
      <c r="L38" s="188" t="n"/>
      <c r="M38" s="188" t="n"/>
      <c r="N38" s="188" t="n"/>
      <c r="O38" s="188" t="n"/>
      <c r="P38" s="188" t="n"/>
      <c r="Q38" s="188" t="n"/>
      <c r="R38" s="188" t="n"/>
      <c r="S38" s="188" t="n"/>
      <c r="T38" s="188" t="n"/>
    </row>
    <row r="39" customFormat="1" s="74">
      <c r="A39" s="315" t="inlineStr">
        <is>
          <t>If interest coverage ratio is</t>
        </is>
      </c>
      <c r="B39" s="319" t="n"/>
      <c r="C39" s="286" t="n"/>
      <c r="D39" s="286" t="n"/>
      <c r="E39" s="188" t="n"/>
      <c r="F39" s="188" t="n"/>
      <c r="G39" s="188" t="n"/>
      <c r="H39" s="188" t="n"/>
      <c r="I39" s="188" t="n"/>
      <c r="J39" s="188" t="n"/>
      <c r="K39" s="188" t="n"/>
      <c r="L39" s="188" t="n"/>
      <c r="M39" s="188" t="n"/>
      <c r="N39" s="188" t="n"/>
      <c r="O39" s="188" t="n"/>
      <c r="P39" s="188" t="n"/>
      <c r="Q39" s="188" t="n"/>
      <c r="R39" s="188" t="n"/>
      <c r="S39" s="188" t="n"/>
      <c r="T39" s="188" t="n"/>
    </row>
    <row r="40" customFormat="1" s="74">
      <c r="A40" s="286" t="inlineStr">
        <is>
          <t>greater than</t>
        </is>
      </c>
      <c r="B40" s="286" t="inlineStr">
        <is>
          <t>≤ to</t>
        </is>
      </c>
      <c r="C40" s="286" t="inlineStr">
        <is>
          <t>Rating is</t>
        </is>
      </c>
      <c r="D40" s="286" t="inlineStr">
        <is>
          <t>Spread is</t>
        </is>
      </c>
      <c r="E40" s="188" t="n"/>
      <c r="F40" s="188" t="n"/>
      <c r="G40" s="188" t="n"/>
      <c r="H40" s="188" t="n"/>
      <c r="I40" s="188" t="n"/>
      <c r="J40" s="188" t="n"/>
      <c r="K40" s="188" t="n"/>
      <c r="L40" s="188" t="n"/>
      <c r="M40" s="188" t="n"/>
      <c r="N40" s="188" t="n"/>
      <c r="O40" s="188" t="n"/>
      <c r="P40" s="188" t="n"/>
      <c r="Q40" s="188" t="n"/>
      <c r="R40" s="188" t="n"/>
      <c r="S40" s="188" t="n"/>
      <c r="T40" s="188" t="n"/>
    </row>
    <row r="41" customFormat="1" s="74">
      <c r="A41" s="286" t="n">
        <v>-100000</v>
      </c>
      <c r="B41" s="286" t="n">
        <v>0.499999</v>
      </c>
      <c r="C41" s="286" t="inlineStr">
        <is>
          <t>D2/D</t>
        </is>
      </c>
      <c r="D41" s="494" t="n">
        <v>0.19</v>
      </c>
      <c r="E41" s="188" t="n"/>
      <c r="F41" s="188" t="n"/>
      <c r="G41" s="317" t="inlineStr">
        <is>
          <t>Rating is</t>
        </is>
      </c>
      <c r="H41" s="317" t="inlineStr">
        <is>
          <t>Spread is</t>
        </is>
      </c>
      <c r="I41" s="188" t="n"/>
      <c r="J41" s="188" t="n"/>
      <c r="K41" s="188" t="n"/>
      <c r="L41" s="317" t="n"/>
      <c r="M41" s="317" t="n"/>
      <c r="N41" s="188" t="n"/>
      <c r="O41" s="188" t="n"/>
      <c r="P41" s="188" t="n"/>
      <c r="Q41" s="188" t="n"/>
      <c r="R41" s="188" t="n"/>
      <c r="S41" s="188" t="n"/>
      <c r="T41" s="188" t="n"/>
    </row>
    <row r="42" customFormat="1" s="74">
      <c r="A42" s="286" t="n">
        <v>0.5</v>
      </c>
      <c r="B42" s="286" t="n">
        <v>0.799999</v>
      </c>
      <c r="C42" s="286" t="inlineStr">
        <is>
          <t>C2/C</t>
        </is>
      </c>
      <c r="D42" s="494" t="n">
        <v>0.16</v>
      </c>
      <c r="E42" s="188" t="n"/>
      <c r="F42" s="188" t="n"/>
      <c r="G42" s="286" t="inlineStr">
        <is>
          <t>A1/A+</t>
        </is>
      </c>
      <c r="H42" s="494" t="n">
        <v>0.007003000000000001</v>
      </c>
      <c r="I42" s="188" t="n"/>
      <c r="J42" s="188" t="n"/>
      <c r="K42" s="188" t="n"/>
      <c r="L42" s="286" t="n"/>
      <c r="M42" s="494" t="n"/>
      <c r="N42" s="188" t="n"/>
      <c r="O42" s="188" t="n"/>
      <c r="P42" s="188" t="n"/>
      <c r="Q42" s="188" t="n"/>
      <c r="R42" s="188" t="n"/>
      <c r="S42" s="188" t="n"/>
      <c r="T42" s="188" t="n"/>
    </row>
    <row r="43" customFormat="1" s="74">
      <c r="A43" s="286" t="n">
        <v>0.8</v>
      </c>
      <c r="B43" s="286" t="n">
        <v>1.249999</v>
      </c>
      <c r="C43" s="286" t="inlineStr">
        <is>
          <t>Ca2/CC</t>
        </is>
      </c>
      <c r="D43" s="494" t="n">
        <v>0.126101</v>
      </c>
      <c r="E43" s="188" t="n"/>
      <c r="F43" s="188" t="n"/>
      <c r="G43" s="286" t="inlineStr">
        <is>
          <t>A2/A</t>
        </is>
      </c>
      <c r="H43" s="494" t="n">
        <v>0.007751000000000001</v>
      </c>
      <c r="I43" s="188" t="n"/>
      <c r="J43" s="188" t="n"/>
      <c r="K43" s="188" t="n"/>
      <c r="L43" s="286" t="n"/>
      <c r="M43" s="494" t="n"/>
      <c r="N43" s="188" t="n"/>
      <c r="O43" s="188" t="n"/>
      <c r="P43" s="188" t="n"/>
      <c r="Q43" s="188" t="n"/>
      <c r="R43" s="188" t="n"/>
      <c r="S43" s="188" t="n"/>
      <c r="T43" s="188" t="n"/>
    </row>
    <row r="44" customFormat="1" s="74">
      <c r="A44" s="286" t="n">
        <v>1.25</v>
      </c>
      <c r="B44" s="286" t="n">
        <v>1.499999</v>
      </c>
      <c r="C44" s="286" t="inlineStr">
        <is>
          <t>Caa/CCC</t>
        </is>
      </c>
      <c r="D44" s="494" t="n">
        <v>0.0885</v>
      </c>
      <c r="E44" s="188" t="n"/>
      <c r="F44" s="188" t="n"/>
      <c r="G44" s="286" t="inlineStr">
        <is>
          <t>A3/A-</t>
        </is>
      </c>
      <c r="H44" s="494" t="n">
        <v>0.008872</v>
      </c>
      <c r="I44" s="188" t="n"/>
      <c r="J44" s="188" t="n"/>
      <c r="K44" s="188" t="n"/>
      <c r="L44" s="286" t="n"/>
      <c r="M44" s="494" t="n"/>
      <c r="N44" s="188" t="n"/>
      <c r="O44" s="188" t="n"/>
      <c r="P44" s="188" t="n"/>
      <c r="Q44" s="188" t="n"/>
      <c r="R44" s="188" t="n"/>
      <c r="S44" s="188" t="n"/>
      <c r="T44" s="188" t="n"/>
    </row>
    <row r="45" customFormat="1" s="74">
      <c r="A45" s="286" t="n">
        <v>1.5</v>
      </c>
      <c r="B45" s="286" t="n">
        <v>1.999999</v>
      </c>
      <c r="C45" s="286" t="inlineStr">
        <is>
          <t>B3/B-</t>
        </is>
      </c>
      <c r="D45" s="494" t="n">
        <v>0.050899</v>
      </c>
      <c r="E45" s="188" t="n"/>
      <c r="F45" s="188" t="n"/>
      <c r="G45" s="286" t="inlineStr">
        <is>
          <t>Aa2/AA</t>
        </is>
      </c>
      <c r="H45" s="494" t="n">
        <v>0.005506</v>
      </c>
      <c r="I45" s="188" t="n"/>
      <c r="J45" s="188" t="n"/>
      <c r="K45" s="188" t="n"/>
      <c r="L45" s="286" t="n"/>
      <c r="M45" s="494" t="n"/>
      <c r="N45" s="188" t="n"/>
      <c r="O45" s="188" t="n"/>
      <c r="P45" s="188" t="n"/>
      <c r="Q45" s="188" t="n"/>
      <c r="R45" s="188" t="n"/>
      <c r="S45" s="188" t="n"/>
      <c r="T45" s="188" t="n"/>
    </row>
    <row r="46" customFormat="1" s="74">
      <c r="A46" s="286" t="n">
        <v>2</v>
      </c>
      <c r="B46" s="286" t="n">
        <v>2.499999</v>
      </c>
      <c r="C46" s="286" t="inlineStr">
        <is>
          <t>B2/B</t>
        </is>
      </c>
      <c r="D46" s="494" t="n">
        <v>0.032098</v>
      </c>
      <c r="E46" s="188" t="n"/>
      <c r="F46" s="188" t="n"/>
      <c r="G46" s="286" t="inlineStr">
        <is>
          <t>Aaa/AAA</t>
        </is>
      </c>
      <c r="H46" s="494" t="n">
        <v>0.004</v>
      </c>
      <c r="I46" s="188" t="n"/>
      <c r="J46" s="188" t="n"/>
      <c r="K46" s="188" t="n"/>
      <c r="L46" s="286" t="n"/>
      <c r="M46" s="494" t="n"/>
      <c r="N46" s="188" t="n"/>
      <c r="O46" s="188" t="n"/>
      <c r="P46" s="188" t="n"/>
      <c r="Q46" s="188" t="n"/>
      <c r="R46" s="188" t="n"/>
      <c r="S46" s="188" t="n"/>
      <c r="T46" s="188" t="n"/>
    </row>
    <row r="47" customFormat="1" s="74">
      <c r="A47" s="286" t="n">
        <v>2.5</v>
      </c>
      <c r="B47" s="286" t="n">
        <v>2.999999</v>
      </c>
      <c r="C47" s="286" t="inlineStr">
        <is>
          <t>B1/B+</t>
        </is>
      </c>
      <c r="D47" s="494" t="n">
        <v>0.027531</v>
      </c>
      <c r="E47" s="188" t="n"/>
      <c r="F47" s="188" t="n"/>
      <c r="G47" s="286" t="inlineStr">
        <is>
          <t>B1/B+</t>
        </is>
      </c>
      <c r="H47" s="494" t="n">
        <v>0.027531</v>
      </c>
      <c r="I47" s="188" t="n"/>
      <c r="J47" s="188" t="n"/>
      <c r="K47" s="188" t="n"/>
      <c r="L47" s="286" t="n"/>
      <c r="M47" s="494" t="n"/>
      <c r="N47" s="188" t="n"/>
      <c r="O47" s="188" t="n"/>
      <c r="P47" s="188" t="n"/>
      <c r="Q47" s="188" t="n"/>
      <c r="R47" s="188" t="n"/>
      <c r="S47" s="188" t="n"/>
      <c r="T47" s="188" t="n"/>
    </row>
    <row r="48" customFormat="1" s="74">
      <c r="A48" s="286" t="n">
        <v>3</v>
      </c>
      <c r="B48" s="286" t="n">
        <v>3.499999</v>
      </c>
      <c r="C48" s="286" t="inlineStr">
        <is>
          <t>Ba2/BB</t>
        </is>
      </c>
      <c r="D48" s="494" t="n">
        <v>0.018395</v>
      </c>
      <c r="E48" s="188" t="n"/>
      <c r="F48" s="188" t="n"/>
      <c r="G48" s="286" t="inlineStr">
        <is>
          <t>B2/B</t>
        </is>
      </c>
      <c r="H48" s="494" t="n">
        <v>0.032098</v>
      </c>
      <c r="I48" s="188" t="n"/>
      <c r="J48" s="188" t="n"/>
      <c r="K48" s="188" t="n"/>
      <c r="L48" s="286" t="n"/>
      <c r="M48" s="494" t="n"/>
      <c r="N48" s="188" t="n"/>
      <c r="O48" s="188" t="n"/>
      <c r="P48" s="188" t="n"/>
      <c r="Q48" s="188" t="n"/>
      <c r="R48" s="188" t="n"/>
      <c r="S48" s="188" t="n"/>
      <c r="T48" s="188" t="n"/>
    </row>
    <row r="49" customFormat="1" s="74">
      <c r="A49" s="286" t="n">
        <v>3.5</v>
      </c>
      <c r="B49" s="286" t="n">
        <v>3.9999999</v>
      </c>
      <c r="C49" s="286" t="inlineStr">
        <is>
          <t>Ba1/BB+</t>
        </is>
      </c>
      <c r="D49" s="494" t="n">
        <v>0.013828</v>
      </c>
      <c r="E49" s="188" t="n"/>
      <c r="F49" s="188" t="n"/>
      <c r="G49" s="286" t="inlineStr">
        <is>
          <t>B3/B-</t>
        </is>
      </c>
      <c r="H49" s="494" t="n">
        <v>0.050899</v>
      </c>
      <c r="I49" s="188" t="n"/>
      <c r="J49" s="188" t="n"/>
      <c r="K49" s="188" t="n"/>
      <c r="L49" s="286" t="n"/>
      <c r="M49" s="494" t="n"/>
      <c r="N49" s="188" t="n"/>
      <c r="O49" s="188" t="n"/>
      <c r="P49" s="188" t="n"/>
      <c r="Q49" s="188" t="n"/>
      <c r="R49" s="188" t="n"/>
      <c r="S49" s="188" t="n"/>
      <c r="T49" s="188" t="n"/>
    </row>
    <row r="50" customFormat="1" s="74">
      <c r="A50" s="286" t="n">
        <v>4</v>
      </c>
      <c r="B50" s="286" t="n">
        <v>4.499999</v>
      </c>
      <c r="C50" s="286" t="inlineStr">
        <is>
          <t>Baa2/BBB</t>
        </is>
      </c>
      <c r="D50" s="494" t="n">
        <v>0.011113</v>
      </c>
      <c r="E50" s="188" t="n"/>
      <c r="F50" s="188" t="n"/>
      <c r="G50" s="286" t="inlineStr">
        <is>
          <t>Ba1/BB+</t>
        </is>
      </c>
      <c r="H50" s="494" t="n">
        <v>0.013828</v>
      </c>
      <c r="I50" s="188" t="n"/>
      <c r="J50" s="188" t="n"/>
      <c r="K50" s="188" t="n"/>
      <c r="L50" s="286" t="n"/>
      <c r="M50" s="494" t="n"/>
      <c r="N50" s="188" t="n"/>
      <c r="O50" s="188" t="n"/>
      <c r="P50" s="188" t="n"/>
      <c r="Q50" s="188" t="n"/>
      <c r="R50" s="188" t="n"/>
      <c r="S50" s="188" t="n"/>
      <c r="T50" s="188" t="n"/>
    </row>
    <row r="51" customFormat="1" s="74">
      <c r="A51" s="286" t="n">
        <v>4.5</v>
      </c>
      <c r="B51" s="286" t="n">
        <v>5.999999</v>
      </c>
      <c r="C51" s="286" t="inlineStr">
        <is>
          <t>A3/A-</t>
        </is>
      </c>
      <c r="D51" s="494" t="n">
        <v>0.008872</v>
      </c>
      <c r="E51" s="188" t="n"/>
      <c r="F51" s="188" t="n"/>
      <c r="G51" s="286" t="inlineStr">
        <is>
          <t>Ba2/BB</t>
        </is>
      </c>
      <c r="H51" s="494" t="n">
        <v>0.018395</v>
      </c>
      <c r="I51" s="188" t="n"/>
      <c r="J51" s="188" t="n"/>
      <c r="K51" s="188" t="n"/>
      <c r="L51" s="286" t="n"/>
      <c r="M51" s="494" t="n"/>
      <c r="N51" s="188" t="n"/>
      <c r="O51" s="188" t="n"/>
      <c r="P51" s="188" t="n"/>
      <c r="Q51" s="188" t="n"/>
      <c r="R51" s="188" t="n"/>
      <c r="S51" s="188" t="n"/>
      <c r="T51" s="188" t="n"/>
    </row>
    <row r="52" customFormat="1" s="74">
      <c r="A52" s="286" t="n">
        <v>6</v>
      </c>
      <c r="B52" s="286" t="n">
        <v>7.499999</v>
      </c>
      <c r="C52" s="286" t="inlineStr">
        <is>
          <t>A2/A</t>
        </is>
      </c>
      <c r="D52" s="494" t="n">
        <v>0.007751000000000001</v>
      </c>
      <c r="E52" s="188" t="n"/>
      <c r="F52" s="188" t="n"/>
      <c r="G52" s="286" t="inlineStr">
        <is>
          <t>Baa2/BBB</t>
        </is>
      </c>
      <c r="H52" s="494" t="n">
        <v>0.011113</v>
      </c>
      <c r="I52" s="188" t="n"/>
      <c r="J52" s="188" t="n"/>
      <c r="K52" s="188" t="n"/>
      <c r="L52" s="286" t="n"/>
      <c r="M52" s="494" t="n"/>
      <c r="N52" s="188" t="n"/>
      <c r="O52" s="188" t="n"/>
      <c r="P52" s="188" t="n"/>
      <c r="Q52" s="188" t="n"/>
      <c r="R52" s="188" t="n"/>
      <c r="S52" s="188" t="n"/>
      <c r="T52" s="188" t="n"/>
    </row>
    <row r="53" customFormat="1" s="74">
      <c r="A53" s="286" t="n">
        <v>7.5</v>
      </c>
      <c r="B53" s="286" t="n">
        <v>9.499999000000001</v>
      </c>
      <c r="C53" s="286" t="inlineStr">
        <is>
          <t>A1/A+</t>
        </is>
      </c>
      <c r="D53" s="494" t="n">
        <v>0.007003000000000001</v>
      </c>
      <c r="E53" s="188" t="n"/>
      <c r="F53" s="188" t="n"/>
      <c r="G53" s="286" t="inlineStr">
        <is>
          <t>C2/C</t>
        </is>
      </c>
      <c r="H53" s="494" t="n">
        <v>0.16</v>
      </c>
      <c r="I53" s="188" t="n"/>
      <c r="J53" s="188" t="n"/>
      <c r="K53" s="188" t="n"/>
      <c r="L53" s="286" t="n"/>
      <c r="M53" s="494" t="n"/>
      <c r="N53" s="188" t="n"/>
      <c r="O53" s="188" t="n"/>
      <c r="P53" s="188" t="n"/>
      <c r="Q53" s="188" t="n"/>
      <c r="R53" s="188" t="n"/>
      <c r="S53" s="188" t="n"/>
      <c r="T53" s="188" t="n"/>
    </row>
    <row r="54">
      <c r="A54" s="286" t="n">
        <v>9.5</v>
      </c>
      <c r="B54" s="286" t="n">
        <v>12.499999</v>
      </c>
      <c r="C54" s="286" t="inlineStr">
        <is>
          <t>Aa2/AA</t>
        </is>
      </c>
      <c r="D54" s="494" t="n">
        <v>0.005506</v>
      </c>
      <c r="G54" s="286" t="inlineStr">
        <is>
          <t>Ca2/CC</t>
        </is>
      </c>
      <c r="H54" s="494" t="n">
        <v>0.126101</v>
      </c>
      <c r="L54" s="286" t="n"/>
      <c r="M54" s="494" t="n"/>
      <c r="U54" s="74" t="n"/>
      <c r="V54" s="74" t="n"/>
      <c r="W54" s="74" t="n"/>
      <c r="X54" s="74" t="n"/>
      <c r="Y54" s="74" t="n"/>
    </row>
    <row r="55">
      <c r="A55" s="286" t="n">
        <v>12.5</v>
      </c>
      <c r="B55" s="286" t="n">
        <v>100000</v>
      </c>
      <c r="C55" s="286" t="inlineStr">
        <is>
          <t>Aaa/AAA</t>
        </is>
      </c>
      <c r="D55" s="494" t="n">
        <v>0.004</v>
      </c>
      <c r="G55" s="286" t="inlineStr">
        <is>
          <t>Caa/CCC</t>
        </is>
      </c>
      <c r="H55" s="494" t="n">
        <v>0.0885</v>
      </c>
      <c r="L55" s="286" t="n"/>
      <c r="M55" s="494" t="n"/>
      <c r="U55" s="74" t="n"/>
      <c r="V55" s="74" t="n"/>
      <c r="W55" s="74" t="n"/>
      <c r="X55" s="74" t="n"/>
      <c r="Y55" s="74" t="n"/>
    </row>
    <row r="56">
      <c r="G56" s="286" t="inlineStr">
        <is>
          <t>D2/D</t>
        </is>
      </c>
      <c r="H56" s="494" t="n">
        <v>0.19</v>
      </c>
      <c r="L56" s="286" t="n"/>
      <c r="M56" s="494" t="n"/>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141"/>
  <sheetViews>
    <sheetView topLeftCell="A36" zoomScale="141" zoomScaleNormal="141" workbookViewId="0">
      <selection activeCell="D40" sqref="D40"/>
    </sheetView>
  </sheetViews>
  <sheetFormatPr baseColWidth="10" defaultRowHeight="13"/>
  <cols>
    <col width="28.33203125" customWidth="1" style="295" min="1" max="1"/>
    <col width="17.33203125" customWidth="1" style="295" min="2" max="2"/>
    <col width="11" bestFit="1" customWidth="1" style="295" min="3" max="3"/>
    <col width="13.6640625" customWidth="1" style="295" min="4" max="4"/>
    <col width="11.1640625" bestFit="1" customWidth="1" style="295" min="5" max="6"/>
    <col width="10.83203125" customWidth="1" style="295" min="7" max="10"/>
  </cols>
  <sheetData>
    <row r="1" ht="18" customFormat="1" customHeight="1" s="5">
      <c r="A1" s="321" t="inlineStr">
        <is>
          <t>R &amp; D Converter</t>
        </is>
      </c>
      <c r="B1" s="321" t="n"/>
      <c r="C1" s="321" t="n"/>
      <c r="D1" s="321" t="n"/>
      <c r="E1" s="321" t="n"/>
      <c r="F1" s="321" t="n"/>
      <c r="G1" s="321" t="n"/>
      <c r="H1" s="321" t="n"/>
      <c r="I1" s="321" t="n"/>
      <c r="J1" s="321" t="n"/>
    </row>
    <row r="2" customFormat="1" s="6">
      <c r="A2" s="297" t="inlineStr">
        <is>
          <t>This spreadsheet converts R&amp;D expenses from operating to capital expenses. It makes the appropriate adjustments to operating income, net</t>
        </is>
      </c>
      <c r="B2" s="297" t="n"/>
      <c r="C2" s="297" t="n"/>
      <c r="D2" s="297" t="n"/>
      <c r="E2" s="297" t="n"/>
      <c r="F2" s="297" t="n"/>
      <c r="G2" s="297" t="n"/>
      <c r="H2" s="297" t="n"/>
      <c r="I2" s="297" t="n"/>
      <c r="J2" s="297" t="n"/>
    </row>
    <row r="3" customFormat="1" s="6">
      <c r="A3" s="297" t="inlineStr">
        <is>
          <t>income, the book value of assets and the book value of equity.</t>
        </is>
      </c>
      <c r="B3" s="297" t="n"/>
      <c r="C3" s="297" t="n"/>
      <c r="D3" s="297" t="n"/>
      <c r="E3" s="297" t="n"/>
      <c r="F3" s="297" t="n"/>
      <c r="G3" s="297" t="n"/>
      <c r="H3" s="297" t="n"/>
      <c r="I3" s="297" t="n"/>
      <c r="J3" s="297" t="n"/>
    </row>
    <row r="4" customFormat="1" s="6">
      <c r="A4" s="297" t="n"/>
      <c r="B4" s="297" t="n"/>
      <c r="C4" s="297" t="n"/>
      <c r="D4" s="297" t="n"/>
      <c r="E4" s="297" t="n"/>
      <c r="F4" s="297" t="n"/>
      <c r="G4" s="297" t="n"/>
      <c r="H4" s="297" t="n"/>
      <c r="I4" s="297" t="n"/>
      <c r="J4" s="297" t="n"/>
    </row>
    <row r="5" customFormat="1" s="6">
      <c r="A5" s="301" t="inlineStr">
        <is>
          <t>Inputs</t>
        </is>
      </c>
      <c r="B5" s="297" t="n"/>
      <c r="C5" s="297" t="n"/>
      <c r="D5" s="297" t="n"/>
      <c r="E5" s="297" t="n"/>
      <c r="F5" s="297" t="n"/>
      <c r="G5" s="297" t="n"/>
      <c r="H5" s="297" t="n"/>
      <c r="I5" s="297" t="n"/>
      <c r="J5" s="297" t="n"/>
    </row>
    <row r="6" customFormat="1" s="6">
      <c r="A6" s="297" t="inlineStr">
        <is>
          <t>Over how many years do you want to amortize R&amp;D expenses</t>
        </is>
      </c>
      <c r="B6" s="297" t="n"/>
      <c r="C6" s="297" t="n"/>
      <c r="D6" s="297" t="n"/>
      <c r="E6" s="297" t="n"/>
      <c r="F6" s="322" t="n">
        <v>3</v>
      </c>
      <c r="G6" s="297" t="inlineStr">
        <is>
          <t>! If in doubt, use the lookup table below</t>
        </is>
      </c>
      <c r="H6" s="297" t="n"/>
      <c r="I6" s="297" t="n"/>
      <c r="J6" s="297" t="n"/>
    </row>
    <row r="7" customFormat="1" s="6">
      <c r="A7" s="297" t="inlineStr">
        <is>
          <t>Enter the current year's R&amp;D expense =</t>
        </is>
      </c>
      <c r="B7" s="297" t="n"/>
      <c r="C7" s="297" t="n"/>
      <c r="D7" s="297" t="n"/>
      <c r="E7" s="297" t="n"/>
      <c r="F7" s="786" t="n">
        <v>85622</v>
      </c>
      <c r="G7" s="297" t="inlineStr">
        <is>
          <t>The maximum allowed is ten years</t>
        </is>
      </c>
      <c r="H7" s="297" t="n"/>
      <c r="I7" s="297" t="n"/>
      <c r="J7" s="297" t="n"/>
    </row>
    <row r="8" customFormat="1" s="6">
      <c r="A8" s="297" t="inlineStr">
        <is>
          <t>Enter R&amp; D expenses for past years: the number of years that you will need to enter will be determined by the amortization period</t>
        </is>
      </c>
      <c r="B8" s="297" t="n"/>
      <c r="C8" s="297" t="n"/>
      <c r="D8" s="297" t="n"/>
      <c r="E8" s="297" t="n"/>
      <c r="F8" s="297" t="n"/>
      <c r="G8" s="297" t="n"/>
      <c r="H8" s="297" t="n"/>
      <c r="I8" s="297" t="n"/>
      <c r="J8" s="297" t="n"/>
    </row>
    <row r="9" customFormat="1" s="6">
      <c r="A9" s="297" t="inlineStr">
        <is>
          <t>Do not input numbers in the first column (Year). It will get automatically updated  based on the input above.</t>
        </is>
      </c>
      <c r="B9" s="297" t="n"/>
      <c r="C9" s="297" t="n"/>
      <c r="D9" s="297" t="n"/>
      <c r="E9" s="297" t="n"/>
      <c r="F9" s="297" t="n"/>
      <c r="G9" s="297" t="n"/>
      <c r="H9" s="297" t="n"/>
      <c r="I9" s="297" t="n"/>
      <c r="J9" s="297" t="n"/>
    </row>
    <row r="10" customFormat="1" s="95">
      <c r="A10" s="332" t="inlineStr">
        <is>
          <t>Year</t>
        </is>
      </c>
      <c r="B10" s="332" t="inlineStr">
        <is>
          <t>R&amp; D Expenses</t>
        </is>
      </c>
      <c r="C10" s="325" t="n"/>
      <c r="D10" s="325" t="n"/>
      <c r="E10" s="325" t="n"/>
      <c r="F10" s="325" t="n"/>
      <c r="G10" s="325" t="n"/>
      <c r="H10" s="325" t="n"/>
      <c r="I10" s="325" t="n"/>
      <c r="J10" s="326" t="n"/>
    </row>
    <row r="11" customFormat="1" s="95">
      <c r="A11" s="404" t="n">
        <v>-1</v>
      </c>
      <c r="B11" s="405" t="n">
        <v>73213</v>
      </c>
      <c r="C11" s="325" t="inlineStr">
        <is>
          <t>! Year -1 is the year prior to the most recent 12 months</t>
        </is>
      </c>
      <c r="D11" s="325" t="n"/>
      <c r="E11" s="325" t="n"/>
      <c r="F11" s="325" t="n"/>
      <c r="G11" s="325" t="n"/>
      <c r="H11" s="325" t="n"/>
      <c r="I11" s="325" t="n"/>
      <c r="J11" s="326" t="n"/>
    </row>
    <row r="12" customFormat="1" s="95">
      <c r="A12" s="404">
        <f>IF((0-A11)&lt;$F$6,IF(A11&gt;-1,,A11-1),)</f>
        <v/>
      </c>
      <c r="B12" s="405" t="n">
        <v>56052</v>
      </c>
      <c r="C12" s="325" t="inlineStr">
        <is>
          <t>! Year -2 is the two years prior to the most recent 12 months</t>
        </is>
      </c>
      <c r="D12" s="325" t="n"/>
      <c r="E12" s="325" t="n"/>
      <c r="F12" s="325" t="n"/>
      <c r="G12" s="325" t="n"/>
      <c r="H12" s="325" t="n"/>
      <c r="I12" s="325" t="n"/>
      <c r="J12" s="326" t="n"/>
    </row>
    <row r="13" customFormat="1" s="95">
      <c r="A13" s="404">
        <f>IF((0-A12)&lt;$F$6,IF(A12&gt;-1,,A12-1),)</f>
        <v/>
      </c>
      <c r="B13" s="405" t="n">
        <v>42740</v>
      </c>
      <c r="C13" s="325" t="n"/>
      <c r="D13" s="325" t="n"/>
      <c r="E13" s="325" t="n"/>
      <c r="F13" s="325" t="n"/>
      <c r="G13" s="325" t="n"/>
      <c r="H13" s="325" t="n"/>
      <c r="I13" s="325" t="n"/>
      <c r="J13" s="326" t="n"/>
    </row>
    <row r="14" customFormat="1" s="95">
      <c r="A14" s="404">
        <f>IF((0-A13)&lt;$F$6,IF(A13&gt;-1,,A13-1),)</f>
        <v/>
      </c>
      <c r="B14" s="405" t="n"/>
      <c r="C14" s="325" t="n"/>
      <c r="D14" s="325" t="n"/>
      <c r="E14" s="325" t="n"/>
      <c r="F14" s="325" t="n"/>
      <c r="G14" s="325" t="n"/>
      <c r="H14" s="325" t="n"/>
      <c r="I14" s="325" t="n"/>
      <c r="J14" s="326" t="n"/>
    </row>
    <row r="15" customFormat="1" s="95">
      <c r="A15" s="404">
        <f>IF((0-A14)&lt;$F$6,IF(A14&gt;-1,,A14-1),)</f>
        <v/>
      </c>
      <c r="B15" s="405" t="n"/>
      <c r="C15" s="325" t="n"/>
      <c r="D15" s="325" t="n"/>
      <c r="E15" s="325" t="n"/>
      <c r="F15" s="325" t="n"/>
      <c r="G15" s="325" t="n"/>
      <c r="H15" s="325" t="n"/>
      <c r="I15" s="325" t="n"/>
      <c r="J15" s="326" t="n"/>
    </row>
    <row r="16" customFormat="1" s="95">
      <c r="A16" s="404">
        <f>IF((0-A15)&lt;$F$6,IF(A15&gt;-1,,A15-1),)</f>
        <v/>
      </c>
      <c r="B16" s="405" t="n"/>
      <c r="C16" s="325" t="n"/>
      <c r="D16" s="325" t="n"/>
      <c r="E16" s="325" t="n"/>
      <c r="F16" s="325" t="n"/>
      <c r="G16" s="325" t="n"/>
      <c r="H16" s="325" t="n"/>
      <c r="I16" s="325" t="n"/>
      <c r="J16" s="326" t="n"/>
    </row>
    <row r="17" customFormat="1" s="95">
      <c r="A17" s="404">
        <f>IF((0-A16)&lt;$F$6,IF(A16&gt;-1,,A16-1),)</f>
        <v/>
      </c>
      <c r="B17" s="405" t="n"/>
      <c r="C17" s="325" t="n"/>
      <c r="D17" s="325" t="n"/>
      <c r="E17" s="325" t="n"/>
      <c r="F17" s="325" t="n"/>
      <c r="G17" s="325" t="n"/>
      <c r="H17" s="325" t="n"/>
      <c r="I17" s="325" t="n"/>
      <c r="J17" s="326" t="n"/>
    </row>
    <row r="18" customFormat="1" s="95">
      <c r="A18" s="404">
        <f>IF((0-A17)&lt;$F$6,IF(A17&gt;-1,,A17-1),)</f>
        <v/>
      </c>
      <c r="B18" s="405" t="n"/>
      <c r="C18" s="325" t="n"/>
      <c r="D18" s="325" t="n"/>
      <c r="E18" s="325" t="n"/>
      <c r="F18" s="325" t="n"/>
      <c r="G18" s="325" t="n"/>
      <c r="H18" s="325" t="n"/>
      <c r="I18" s="325" t="n"/>
      <c r="J18" s="326" t="n"/>
    </row>
    <row r="19" customFormat="1" s="95">
      <c r="A19" s="404">
        <f>IF((0-A18)&lt;$F$6,IF(A18&gt;-1,,A18-1),)</f>
        <v/>
      </c>
      <c r="B19" s="405" t="n"/>
      <c r="C19" s="325" t="n"/>
      <c r="D19" s="325" t="n"/>
      <c r="E19" s="325" t="n"/>
      <c r="F19" s="325" t="n"/>
      <c r="G19" s="325" t="n"/>
      <c r="H19" s="325" t="n"/>
      <c r="I19" s="325" t="n"/>
      <c r="J19" s="326" t="n"/>
    </row>
    <row r="20" customFormat="1" s="95">
      <c r="A20" s="404">
        <f>IF((0-A19)&lt;$F$6,IF(A19&gt;-1,,A19-1),)</f>
        <v/>
      </c>
      <c r="B20" s="405" t="n"/>
      <c r="C20" s="325" t="n"/>
      <c r="D20" s="325" t="n"/>
      <c r="E20" s="325" t="n"/>
      <c r="F20" s="325" t="n"/>
      <c r="G20" s="325" t="n"/>
      <c r="H20" s="325" t="n"/>
      <c r="I20" s="325" t="n"/>
      <c r="J20" s="326" t="n"/>
    </row>
    <row r="21" customFormat="1" s="95">
      <c r="A21" s="325" t="n"/>
      <c r="B21" s="325" t="n"/>
      <c r="C21" s="325" t="n"/>
      <c r="D21" s="325" t="n"/>
      <c r="E21" s="325" t="n"/>
      <c r="F21" s="325" t="n"/>
      <c r="G21" s="325" t="n"/>
      <c r="H21" s="325" t="n"/>
      <c r="I21" s="325" t="n"/>
      <c r="J21" s="326" t="n"/>
    </row>
    <row r="22" customFormat="1" s="95">
      <c r="A22" s="328" t="inlineStr">
        <is>
          <t>Output</t>
        </is>
      </c>
      <c r="B22" s="325" t="n"/>
      <c r="C22" s="325" t="n"/>
      <c r="D22" s="325" t="n"/>
      <c r="E22" s="325" t="n"/>
      <c r="F22" s="325" t="n"/>
      <c r="G22" s="325" t="n"/>
      <c r="H22" s="325" t="n"/>
      <c r="I22" s="325" t="n"/>
      <c r="J22" s="326" t="n"/>
    </row>
    <row r="23" customFormat="1" s="95">
      <c r="A23" s="324" t="inlineStr">
        <is>
          <t>Year</t>
        </is>
      </c>
      <c r="B23" s="324" t="inlineStr">
        <is>
          <t>R&amp;D Expense</t>
        </is>
      </c>
      <c r="C23" s="329" t="inlineStr">
        <is>
          <t>Unamortized portion</t>
        </is>
      </c>
      <c r="D23" s="330" t="n"/>
      <c r="E23" s="325" t="inlineStr">
        <is>
          <t>Amortization this year</t>
        </is>
      </c>
      <c r="F23" s="325" t="n"/>
      <c r="G23" s="325" t="n"/>
      <c r="H23" s="325" t="n"/>
      <c r="I23" s="325" t="n"/>
      <c r="J23" s="326" t="n"/>
    </row>
    <row r="24" customFormat="1" s="95">
      <c r="A24" s="324" t="inlineStr">
        <is>
          <t>Current</t>
        </is>
      </c>
      <c r="B24" s="324">
        <f>F7</f>
        <v/>
      </c>
      <c r="C24" s="324">
        <f>1</f>
        <v/>
      </c>
      <c r="D24" s="324">
        <f>B24*C24</f>
        <v/>
      </c>
      <c r="E24" s="325" t="n"/>
      <c r="F24" s="325" t="n"/>
      <c r="G24" s="325" t="n"/>
      <c r="H24" s="325" t="n"/>
      <c r="I24" s="325" t="n"/>
      <c r="J24" s="326" t="n"/>
    </row>
    <row r="25" customFormat="1" s="95">
      <c r="A25" s="327">
        <f>A11</f>
        <v/>
      </c>
      <c r="B25" s="324">
        <f>B11</f>
        <v/>
      </c>
      <c r="C25" s="324">
        <f>IF(A25&lt;0,($F$6+A25)/$F$6,0)</f>
        <v/>
      </c>
      <c r="D25" s="324">
        <f>B25*C25</f>
        <v/>
      </c>
      <c r="E25" s="787">
        <f>IF(A25&lt;0,B25/$F$6,0)</f>
        <v/>
      </c>
      <c r="F25" s="325" t="n"/>
      <c r="G25" s="325" t="n"/>
      <c r="H25" s="325" t="n"/>
      <c r="I25" s="325" t="n"/>
      <c r="J25" s="326" t="n"/>
    </row>
    <row r="26" customFormat="1" s="95">
      <c r="A26" s="327">
        <f>A12</f>
        <v/>
      </c>
      <c r="B26" s="324">
        <f>B12</f>
        <v/>
      </c>
      <c r="C26" s="324">
        <f>IF(A26&lt;0,($F$6+A26)/$F$6,0)</f>
        <v/>
      </c>
      <c r="D26" s="324">
        <f>B26*C26</f>
        <v/>
      </c>
      <c r="E26" s="787">
        <f>IF(A26&lt;0,B26/$F$6,0)</f>
        <v/>
      </c>
      <c r="F26" s="325" t="n"/>
      <c r="G26" s="325" t="n"/>
      <c r="H26" s="325" t="n"/>
      <c r="I26" s="325" t="n"/>
      <c r="J26" s="326" t="n"/>
    </row>
    <row r="27" customFormat="1" s="95">
      <c r="A27" s="327">
        <f>A13</f>
        <v/>
      </c>
      <c r="B27" s="324">
        <f>B13</f>
        <v/>
      </c>
      <c r="C27" s="324">
        <f>IF(A27&lt;0,($F$6+A27)/$F$6,0)</f>
        <v/>
      </c>
      <c r="D27" s="324">
        <f>B27*C27</f>
        <v/>
      </c>
      <c r="E27" s="787">
        <f>IF(A27&lt;0,B27/$F$6,0)</f>
        <v/>
      </c>
      <c r="F27" s="325" t="n"/>
      <c r="G27" s="325" t="n"/>
      <c r="H27" s="325" t="n"/>
      <c r="I27" s="325" t="n"/>
      <c r="J27" s="326" t="n"/>
    </row>
    <row r="28" customFormat="1" s="95">
      <c r="A28" s="327">
        <f>A14</f>
        <v/>
      </c>
      <c r="B28" s="324">
        <f>B14</f>
        <v/>
      </c>
      <c r="C28" s="324">
        <f>IF(A28&lt;0,($F$6+A28)/$F$6,0)</f>
        <v/>
      </c>
      <c r="D28" s="324">
        <f>B28*C28</f>
        <v/>
      </c>
      <c r="E28" s="787">
        <f>IF(A28&lt;0,B28/$F$6,0)</f>
        <v/>
      </c>
      <c r="F28" s="325" t="n"/>
      <c r="G28" s="325" t="n"/>
      <c r="H28" s="325" t="n"/>
      <c r="I28" s="325" t="n"/>
      <c r="J28" s="326" t="n"/>
    </row>
    <row r="29" customFormat="1" s="95">
      <c r="A29" s="327">
        <f>A15</f>
        <v/>
      </c>
      <c r="B29" s="324">
        <f>B15</f>
        <v/>
      </c>
      <c r="C29" s="324">
        <f>IF(A29&lt;0,($F$6+A29)/$F$6,0)</f>
        <v/>
      </c>
      <c r="D29" s="324">
        <f>B29*C29</f>
        <v/>
      </c>
      <c r="E29" s="787">
        <f>IF(A29&lt;0,B29/$F$6,0)</f>
        <v/>
      </c>
      <c r="F29" s="325" t="n"/>
      <c r="G29" s="325" t="n"/>
      <c r="H29" s="325" t="n"/>
      <c r="I29" s="325" t="n"/>
      <c r="J29" s="326" t="n"/>
    </row>
    <row r="30" customFormat="1" s="95">
      <c r="A30" s="327">
        <f>A16</f>
        <v/>
      </c>
      <c r="B30" s="324">
        <f>B16</f>
        <v/>
      </c>
      <c r="C30" s="324">
        <f>IF(A30&lt;0,($F$6+A30)/$F$6,0)</f>
        <v/>
      </c>
      <c r="D30" s="324">
        <f>B30*C30</f>
        <v/>
      </c>
      <c r="E30" s="787">
        <f>IF(A30&lt;0,B30/$F$6,0)</f>
        <v/>
      </c>
      <c r="F30" s="325" t="n"/>
      <c r="G30" s="325" t="n"/>
      <c r="H30" s="325" t="n"/>
      <c r="I30" s="325" t="n"/>
      <c r="J30" s="326" t="n"/>
    </row>
    <row r="31" customFormat="1" s="95">
      <c r="A31" s="327">
        <f>A17</f>
        <v/>
      </c>
      <c r="B31" s="324">
        <f>B17</f>
        <v/>
      </c>
      <c r="C31" s="324">
        <f>IF(A31&lt;0,($F$6+A31)/$F$6,0)</f>
        <v/>
      </c>
      <c r="D31" s="324">
        <f>B31*C31</f>
        <v/>
      </c>
      <c r="E31" s="787">
        <f>IF(A31&lt;0,B31/$F$6,0)</f>
        <v/>
      </c>
      <c r="F31" s="325" t="n"/>
      <c r="G31" s="325" t="n"/>
      <c r="H31" s="325" t="n"/>
      <c r="I31" s="325" t="n"/>
      <c r="J31" s="326" t="n"/>
    </row>
    <row r="32" customFormat="1" s="95">
      <c r="A32" s="327">
        <f>A18</f>
        <v/>
      </c>
      <c r="B32" s="324">
        <f>B18</f>
        <v/>
      </c>
      <c r="C32" s="324">
        <f>IF(A32&lt;0,($F$6+A32)/$F$6,0)</f>
        <v/>
      </c>
      <c r="D32" s="324">
        <f>B32*C32</f>
        <v/>
      </c>
      <c r="E32" s="787">
        <f>IF(A32&lt;0,B32/$F$6,0)</f>
        <v/>
      </c>
      <c r="F32" s="325" t="n"/>
      <c r="G32" s="325" t="n"/>
      <c r="H32" s="325" t="n"/>
      <c r="I32" s="325" t="n"/>
      <c r="J32" s="326" t="n"/>
    </row>
    <row r="33" customFormat="1" s="95">
      <c r="A33" s="327">
        <f>A19</f>
        <v/>
      </c>
      <c r="B33" s="324">
        <f>B19</f>
        <v/>
      </c>
      <c r="C33" s="324">
        <f>IF(A33&lt;0,($F$6+A33)/$F$6,0)</f>
        <v/>
      </c>
      <c r="D33" s="324">
        <f>B33*C33</f>
        <v/>
      </c>
      <c r="E33" s="787">
        <f>IF(A33&lt;0,B33/$F$6,0)</f>
        <v/>
      </c>
      <c r="F33" s="325" t="n"/>
      <c r="G33" s="325" t="n"/>
      <c r="H33" s="325" t="n"/>
      <c r="I33" s="325" t="n"/>
      <c r="J33" s="326" t="n"/>
    </row>
    <row r="34" ht="16" customFormat="1" customHeight="1" s="95" thickBot="1">
      <c r="A34" s="327">
        <f>A20</f>
        <v/>
      </c>
      <c r="B34" s="324">
        <f>B20</f>
        <v/>
      </c>
      <c r="C34" s="324">
        <f>IF(A34&lt;0,($F$6+A34)/$F$6,0)</f>
        <v/>
      </c>
      <c r="D34" s="332">
        <f>B34*C34</f>
        <v/>
      </c>
      <c r="E34" s="788">
        <f>IF(A34&lt;0,B34/$F$6,0)</f>
        <v/>
      </c>
      <c r="F34" s="325" t="n"/>
      <c r="G34" s="325" t="n"/>
      <c r="H34" s="325" t="n"/>
      <c r="I34" s="325" t="n"/>
      <c r="J34" s="326" t="n"/>
    </row>
    <row r="35" ht="14" customFormat="1" customHeight="1" s="6" thickBot="1">
      <c r="A35" s="297" t="inlineStr">
        <is>
          <t>Value of Research Asset =</t>
        </is>
      </c>
      <c r="B35" s="297" t="n"/>
      <c r="C35" s="297" t="n"/>
      <c r="D35" s="789">
        <f>SUM(D24:D34)</f>
        <v/>
      </c>
      <c r="E35" s="789">
        <f>SUM(E25:E34)</f>
        <v/>
      </c>
      <c r="F35" s="297" t="n"/>
      <c r="G35" s="297" t="n"/>
      <c r="H35" s="297" t="n"/>
      <c r="I35" s="297" t="n"/>
      <c r="J35" s="297" t="n"/>
    </row>
    <row r="36" ht="14" customHeight="1" thickBot="1">
      <c r="D36" s="790" t="n"/>
      <c r="E36" s="790" t="n"/>
    </row>
    <row r="37" ht="14" customFormat="1" customHeight="1" s="6" thickBot="1">
      <c r="A37" s="297" t="inlineStr">
        <is>
          <t>Amortization of asset for current year =</t>
        </is>
      </c>
      <c r="B37" s="297" t="n"/>
      <c r="C37" s="297" t="n"/>
      <c r="D37" s="789">
        <f>E35</f>
        <v/>
      </c>
      <c r="E37" s="791" t="n"/>
      <c r="F37" s="297" t="n"/>
      <c r="G37" s="297" t="n"/>
      <c r="H37" s="297" t="n"/>
      <c r="I37" s="297" t="n"/>
      <c r="J37" s="297" t="n"/>
    </row>
    <row r="38" ht="14" customFormat="1" customHeight="1" s="6" thickBot="1">
      <c r="A38" s="297" t="n"/>
      <c r="B38" s="297" t="n"/>
      <c r="C38" s="297" t="n"/>
      <c r="D38" s="297" t="n"/>
      <c r="E38" s="297" t="n"/>
      <c r="F38" s="297" t="n"/>
      <c r="G38" s="297" t="n"/>
      <c r="H38" s="297" t="n"/>
      <c r="I38" s="297" t="n"/>
      <c r="J38" s="297" t="n"/>
    </row>
    <row r="39" customFormat="1" s="6">
      <c r="A39" s="297" t="inlineStr">
        <is>
          <t>Adjustment to Operating Income =</t>
        </is>
      </c>
      <c r="B39" s="297" t="n"/>
      <c r="C39" s="297" t="n"/>
      <c r="D39" s="792">
        <f>F7-D37</f>
        <v/>
      </c>
      <c r="E39" s="297" t="inlineStr">
        <is>
          <t>! A positive number indicates an increase in operating income (add to reported EBIT)</t>
        </is>
      </c>
      <c r="F39" s="297" t="n"/>
      <c r="G39" s="297" t="n"/>
      <c r="H39" s="297" t="n"/>
      <c r="I39" s="297" t="n"/>
      <c r="J39" s="297" t="n"/>
    </row>
    <row r="40" ht="14" customHeight="1">
      <c r="A40" s="295" t="inlineStr">
        <is>
          <t>Tax Effect of R&amp;D Expensing</t>
        </is>
      </c>
      <c r="D40" s="793">
        <f>D39*'Input sheet'!B24</f>
        <v/>
      </c>
      <c r="E40" s="297" t="n"/>
    </row>
    <row r="42">
      <c r="A42" s="295" t="inlineStr">
        <is>
          <t>Lookup Table for Amortizable Lives</t>
        </is>
      </c>
    </row>
    <row r="43">
      <c r="A43" s="400" t="inlineStr">
        <is>
          <t>Industry Name</t>
        </is>
      </c>
      <c r="B43" s="401" t="inlineStr">
        <is>
          <t>Amortization Period</t>
        </is>
      </c>
    </row>
    <row r="44">
      <c r="A44" s="398" t="inlineStr">
        <is>
          <t>Advertising</t>
        </is>
      </c>
      <c r="B44" s="399" t="n">
        <v>2</v>
      </c>
    </row>
    <row r="45">
      <c r="A45" s="398" t="inlineStr">
        <is>
          <t>Aerospace/Defense</t>
        </is>
      </c>
      <c r="B45" s="399" t="n">
        <v>10</v>
      </c>
    </row>
    <row r="46">
      <c r="A46" s="398" t="inlineStr">
        <is>
          <t>Air Transport</t>
        </is>
      </c>
      <c r="B46" s="399" t="n">
        <v>10</v>
      </c>
    </row>
    <row r="47">
      <c r="A47" s="398" t="inlineStr">
        <is>
          <t>Aluminum</t>
        </is>
      </c>
      <c r="B47" s="399" t="n">
        <v>5</v>
      </c>
    </row>
    <row r="48">
      <c r="A48" s="398" t="inlineStr">
        <is>
          <t>Apparel</t>
        </is>
      </c>
      <c r="B48" s="399" t="n">
        <v>3</v>
      </c>
    </row>
    <row r="49">
      <c r="A49" s="398" t="inlineStr">
        <is>
          <t>Auto &amp; Truck</t>
        </is>
      </c>
      <c r="B49" s="399" t="n">
        <v>10</v>
      </c>
    </row>
    <row r="50">
      <c r="A50" s="398" t="inlineStr">
        <is>
          <t>Auto Parts (OEM)</t>
        </is>
      </c>
      <c r="B50" s="399" t="n">
        <v>5</v>
      </c>
    </row>
    <row r="51">
      <c r="A51" s="398" t="inlineStr">
        <is>
          <t>Auto Parts (Replacement)</t>
        </is>
      </c>
      <c r="B51" s="399" t="n">
        <v>5</v>
      </c>
    </row>
    <row r="52">
      <c r="A52" s="398" t="inlineStr">
        <is>
          <t>Bank</t>
        </is>
      </c>
      <c r="B52" s="399" t="n">
        <v>2</v>
      </c>
    </row>
    <row r="53">
      <c r="A53" s="398" t="inlineStr">
        <is>
          <t>Bank (Canadian)</t>
        </is>
      </c>
      <c r="B53" s="399" t="n">
        <v>2</v>
      </c>
    </row>
    <row r="54">
      <c r="A54" s="398" t="inlineStr">
        <is>
          <t>Bank (Foreign)</t>
        </is>
      </c>
      <c r="B54" s="399" t="n">
        <v>2</v>
      </c>
    </row>
    <row r="55">
      <c r="A55" s="398" t="inlineStr">
        <is>
          <t>Bank (Midwest)</t>
        </is>
      </c>
      <c r="B55" s="399" t="n">
        <v>2</v>
      </c>
    </row>
    <row r="56">
      <c r="A56" s="398" t="inlineStr">
        <is>
          <t>Beverage (Alcoholic)</t>
        </is>
      </c>
      <c r="B56" s="399" t="n">
        <v>3</v>
      </c>
    </row>
    <row r="57">
      <c r="A57" s="398" t="inlineStr">
        <is>
          <t>Beverage (Soft Drink)</t>
        </is>
      </c>
      <c r="B57" s="399" t="n">
        <v>3</v>
      </c>
    </row>
    <row r="58">
      <c r="A58" s="398" t="inlineStr">
        <is>
          <t>Building Materials</t>
        </is>
      </c>
      <c r="B58" s="399" t="n">
        <v>5</v>
      </c>
    </row>
    <row r="59">
      <c r="A59" s="398" t="inlineStr">
        <is>
          <t>Cable TV</t>
        </is>
      </c>
      <c r="B59" s="399" t="n">
        <v>10</v>
      </c>
    </row>
    <row r="60">
      <c r="A60" s="398" t="inlineStr">
        <is>
          <t>Canadian Energy</t>
        </is>
      </c>
      <c r="B60" s="399" t="n">
        <v>10</v>
      </c>
    </row>
    <row r="61">
      <c r="A61" s="398" t="inlineStr">
        <is>
          <t>Cement &amp; Aggregates</t>
        </is>
      </c>
      <c r="B61" s="399" t="n">
        <v>10</v>
      </c>
    </row>
    <row r="62">
      <c r="A62" s="398" t="inlineStr">
        <is>
          <t>Chemical (Basic)</t>
        </is>
      </c>
      <c r="B62" s="399" t="n">
        <v>10</v>
      </c>
    </row>
    <row r="63">
      <c r="A63" s="398" t="inlineStr">
        <is>
          <t>Chemical (Diversified)</t>
        </is>
      </c>
      <c r="B63" s="399" t="n">
        <v>10</v>
      </c>
    </row>
    <row r="64">
      <c r="A64" s="398" t="inlineStr">
        <is>
          <t>Chemical (Specialty)</t>
        </is>
      </c>
      <c r="B64" s="399" t="n">
        <v>10</v>
      </c>
    </row>
    <row r="65">
      <c r="A65" s="398" t="inlineStr">
        <is>
          <t>Coal/Alternate Energy</t>
        </is>
      </c>
      <c r="B65" s="399" t="n">
        <v>5</v>
      </c>
    </row>
    <row r="66">
      <c r="A66" s="398" t="inlineStr">
        <is>
          <t>Computer &amp; Peripherals</t>
        </is>
      </c>
      <c r="B66" s="399" t="n">
        <v>5</v>
      </c>
    </row>
    <row r="67">
      <c r="A67" s="398" t="inlineStr">
        <is>
          <t>Computer Software &amp; Svcs</t>
        </is>
      </c>
      <c r="B67" s="399" t="n">
        <v>3</v>
      </c>
    </row>
    <row r="68">
      <c r="A68" s="398" t="inlineStr">
        <is>
          <t>Copper</t>
        </is>
      </c>
      <c r="B68" s="399" t="n">
        <v>5</v>
      </c>
    </row>
    <row r="69">
      <c r="A69" s="398" t="inlineStr">
        <is>
          <t>Diversified Co.</t>
        </is>
      </c>
      <c r="B69" s="399" t="n">
        <v>5</v>
      </c>
    </row>
    <row r="70">
      <c r="A70" s="398" t="inlineStr">
        <is>
          <t>Drug</t>
        </is>
      </c>
      <c r="B70" s="399" t="n">
        <v>10</v>
      </c>
    </row>
    <row r="71">
      <c r="A71" s="398" t="inlineStr">
        <is>
          <t>Drugstore</t>
        </is>
      </c>
      <c r="B71" s="399" t="n">
        <v>3</v>
      </c>
    </row>
    <row r="72">
      <c r="A72" s="398" t="inlineStr">
        <is>
          <t>Educational Services</t>
        </is>
      </c>
      <c r="B72" s="399" t="n">
        <v>3</v>
      </c>
    </row>
    <row r="73">
      <c r="A73" s="398" t="inlineStr">
        <is>
          <t>Electric Util. (Central)</t>
        </is>
      </c>
      <c r="B73" s="399" t="n">
        <v>10</v>
      </c>
    </row>
    <row r="74">
      <c r="A74" s="398" t="inlineStr">
        <is>
          <t>Electric Utility (East)</t>
        </is>
      </c>
      <c r="B74" s="399" t="n">
        <v>10</v>
      </c>
    </row>
    <row r="75">
      <c r="A75" s="398" t="inlineStr">
        <is>
          <t>Electric Utility (West)</t>
        </is>
      </c>
      <c r="B75" s="399" t="n">
        <v>10</v>
      </c>
    </row>
    <row r="76">
      <c r="A76" s="398" t="inlineStr">
        <is>
          <t>Electrical Equipment</t>
        </is>
      </c>
      <c r="B76" s="399" t="n">
        <v>10</v>
      </c>
    </row>
    <row r="77">
      <c r="A77" s="398" t="inlineStr">
        <is>
          <t>Electronics</t>
        </is>
      </c>
      <c r="B77" s="399" t="n">
        <v>5</v>
      </c>
    </row>
    <row r="78">
      <c r="A78" s="398" t="inlineStr">
        <is>
          <t>Entertainment</t>
        </is>
      </c>
      <c r="B78" s="399" t="n">
        <v>3</v>
      </c>
    </row>
    <row r="79">
      <c r="A79" s="398" t="inlineStr">
        <is>
          <t>Environmental</t>
        </is>
      </c>
      <c r="B79" s="399" t="n">
        <v>5</v>
      </c>
    </row>
    <row r="80">
      <c r="A80" s="398" t="inlineStr">
        <is>
          <t>Financial Services</t>
        </is>
      </c>
      <c r="B80" s="399" t="n">
        <v>2</v>
      </c>
    </row>
    <row r="81">
      <c r="A81" s="398" t="inlineStr">
        <is>
          <t>Food Processing</t>
        </is>
      </c>
      <c r="B81" s="399" t="n">
        <v>3</v>
      </c>
    </row>
    <row r="82">
      <c r="A82" s="398" t="inlineStr">
        <is>
          <t>Food Wholesalers</t>
        </is>
      </c>
      <c r="B82" s="399" t="n">
        <v>3</v>
      </c>
    </row>
    <row r="83">
      <c r="A83" s="398" t="inlineStr">
        <is>
          <t>Foreign Electron/Entertn</t>
        </is>
      </c>
      <c r="B83" s="399" t="n">
        <v>5</v>
      </c>
    </row>
    <row r="84">
      <c r="A84" s="398" t="inlineStr">
        <is>
          <t>Foreign Telecom.</t>
        </is>
      </c>
      <c r="B84" s="399" t="n">
        <v>10</v>
      </c>
    </row>
    <row r="85">
      <c r="A85" s="398" t="inlineStr">
        <is>
          <t>Furn./Home Furnishings</t>
        </is>
      </c>
      <c r="B85" s="399" t="n">
        <v>3</v>
      </c>
    </row>
    <row r="86">
      <c r="A86" s="398" t="inlineStr">
        <is>
          <t>Gold/Silver Mining</t>
        </is>
      </c>
      <c r="B86" s="399" t="n">
        <v>5</v>
      </c>
    </row>
    <row r="87">
      <c r="A87" s="398" t="inlineStr">
        <is>
          <t>Grocery</t>
        </is>
      </c>
      <c r="B87" s="399" t="n">
        <v>2</v>
      </c>
    </row>
    <row r="88">
      <c r="A88" s="398" t="inlineStr">
        <is>
          <t>Healthcare Info Systems</t>
        </is>
      </c>
      <c r="B88" s="399" t="n">
        <v>3</v>
      </c>
    </row>
    <row r="89">
      <c r="A89" s="398" t="inlineStr">
        <is>
          <t>Home Appliance</t>
        </is>
      </c>
      <c r="B89" s="399" t="n">
        <v>5</v>
      </c>
    </row>
    <row r="90">
      <c r="A90" s="398" t="inlineStr">
        <is>
          <t>Homebuilding</t>
        </is>
      </c>
      <c r="B90" s="399" t="n">
        <v>5</v>
      </c>
    </row>
    <row r="91">
      <c r="A91" s="398" t="inlineStr">
        <is>
          <t>Hotel/Gaming</t>
        </is>
      </c>
      <c r="B91" s="399" t="n">
        <v>3</v>
      </c>
    </row>
    <row r="92">
      <c r="A92" s="398" t="inlineStr">
        <is>
          <t>Household Products</t>
        </is>
      </c>
      <c r="B92" s="399" t="n">
        <v>3</v>
      </c>
    </row>
    <row r="93">
      <c r="A93" s="398" t="inlineStr">
        <is>
          <t>Industrial Services</t>
        </is>
      </c>
      <c r="B93" s="399" t="n">
        <v>3</v>
      </c>
    </row>
    <row r="94">
      <c r="A94" s="398" t="inlineStr">
        <is>
          <t>Insurance (Diversified)</t>
        </is>
      </c>
      <c r="B94" s="399" t="n">
        <v>3</v>
      </c>
    </row>
    <row r="95">
      <c r="A95" s="398" t="inlineStr">
        <is>
          <t>Insurance (Life)</t>
        </is>
      </c>
      <c r="B95" s="399" t="n">
        <v>3</v>
      </c>
    </row>
    <row r="96">
      <c r="A96" s="398" t="inlineStr">
        <is>
          <t>Insurance (Prop/Casualty)</t>
        </is>
      </c>
      <c r="B96" s="399" t="n">
        <v>3</v>
      </c>
    </row>
    <row r="97">
      <c r="A97" s="398" t="inlineStr">
        <is>
          <t>Internet</t>
        </is>
      </c>
      <c r="B97" s="399" t="n">
        <v>3</v>
      </c>
    </row>
    <row r="98">
      <c r="A98" s="398" t="inlineStr">
        <is>
          <t>Investment Co. (Domestic)</t>
        </is>
      </c>
      <c r="B98" s="399" t="n">
        <v>3</v>
      </c>
    </row>
    <row r="99">
      <c r="A99" s="398" t="inlineStr">
        <is>
          <t>Investment Co. (Foreign)</t>
        </is>
      </c>
      <c r="B99" s="399" t="n">
        <v>3</v>
      </c>
    </row>
    <row r="100">
      <c r="A100" s="398" t="inlineStr">
        <is>
          <t>Investment Co. (Income)</t>
        </is>
      </c>
      <c r="B100" s="399" t="n">
        <v>3</v>
      </c>
    </row>
    <row r="101">
      <c r="A101" s="398" t="inlineStr">
        <is>
          <t>Machinery</t>
        </is>
      </c>
      <c r="B101" s="399" t="n">
        <v>10</v>
      </c>
    </row>
    <row r="102">
      <c r="A102" s="398" t="inlineStr">
        <is>
          <t>Manuf. Housing/Rec Veh</t>
        </is>
      </c>
      <c r="B102" s="399" t="n">
        <v>5</v>
      </c>
    </row>
    <row r="103">
      <c r="A103" s="398" t="inlineStr">
        <is>
          <t>Maritime</t>
        </is>
      </c>
      <c r="B103" s="399" t="n">
        <v>10</v>
      </c>
    </row>
    <row r="104">
      <c r="A104" s="398" t="inlineStr">
        <is>
          <t>Medical Services</t>
        </is>
      </c>
      <c r="B104" s="399" t="n">
        <v>3</v>
      </c>
    </row>
    <row r="105">
      <c r="A105" s="398" t="inlineStr">
        <is>
          <t>Medical Supplies</t>
        </is>
      </c>
      <c r="B105" s="399" t="n">
        <v>5</v>
      </c>
    </row>
    <row r="106">
      <c r="A106" s="398" t="inlineStr">
        <is>
          <t>Metal Fabricating</t>
        </is>
      </c>
      <c r="B106" s="399" t="n">
        <v>10</v>
      </c>
    </row>
    <row r="107">
      <c r="A107" s="398" t="inlineStr">
        <is>
          <t>Metals &amp; Mining (Div.)</t>
        </is>
      </c>
      <c r="B107" s="399" t="n">
        <v>5</v>
      </c>
    </row>
    <row r="108">
      <c r="A108" s="398" t="inlineStr">
        <is>
          <t>Natural Gas (Distrib.)</t>
        </is>
      </c>
      <c r="B108" s="399" t="n">
        <v>10</v>
      </c>
    </row>
    <row r="109">
      <c r="A109" s="398" t="inlineStr">
        <is>
          <t>Natural Gas (Diversified)</t>
        </is>
      </c>
      <c r="B109" s="399" t="n">
        <v>10</v>
      </c>
    </row>
    <row r="110">
      <c r="A110" s="398" t="inlineStr">
        <is>
          <t>Newspaper</t>
        </is>
      </c>
      <c r="B110" s="399" t="n">
        <v>3</v>
      </c>
    </row>
    <row r="111">
      <c r="A111" s="398" t="inlineStr">
        <is>
          <t>Office Equip &amp; Supplies</t>
        </is>
      </c>
      <c r="B111" s="399" t="n">
        <v>5</v>
      </c>
    </row>
    <row r="112">
      <c r="A112" s="398" t="inlineStr">
        <is>
          <t>Oilfield Services/Equip.</t>
        </is>
      </c>
      <c r="B112" s="399" t="n">
        <v>5</v>
      </c>
    </row>
    <row r="113">
      <c r="A113" s="398" t="inlineStr">
        <is>
          <t>Packaging &amp; Container</t>
        </is>
      </c>
      <c r="B113" s="399" t="n">
        <v>5</v>
      </c>
    </row>
    <row r="114">
      <c r="A114" s="398" t="inlineStr">
        <is>
          <t>Paper &amp; Forest Products</t>
        </is>
      </c>
      <c r="B114" s="399" t="n">
        <v>10</v>
      </c>
    </row>
    <row r="115">
      <c r="A115" s="398" t="inlineStr">
        <is>
          <t>Petroleum (Integrated)</t>
        </is>
      </c>
      <c r="B115" s="399" t="n">
        <v>5</v>
      </c>
    </row>
    <row r="116">
      <c r="A116" s="398" t="inlineStr">
        <is>
          <t>Petroleum (Producing)</t>
        </is>
      </c>
      <c r="B116" s="399" t="n">
        <v>5</v>
      </c>
    </row>
    <row r="117">
      <c r="A117" s="398" t="inlineStr">
        <is>
          <t>Precision Instrument</t>
        </is>
      </c>
      <c r="B117" s="399" t="n">
        <v>5</v>
      </c>
    </row>
    <row r="118">
      <c r="A118" s="398" t="inlineStr">
        <is>
          <t>Publishing</t>
        </is>
      </c>
      <c r="B118" s="399" t="n">
        <v>3</v>
      </c>
    </row>
    <row r="119">
      <c r="A119" s="398" t="inlineStr">
        <is>
          <t>R.E.I.T.</t>
        </is>
      </c>
      <c r="B119" s="399" t="n">
        <v>3</v>
      </c>
    </row>
    <row r="120">
      <c r="A120" s="398" t="inlineStr">
        <is>
          <t>Railroad</t>
        </is>
      </c>
      <c r="B120" s="399" t="n">
        <v>5</v>
      </c>
    </row>
    <row r="121">
      <c r="A121" s="398" t="inlineStr">
        <is>
          <t>Recreation</t>
        </is>
      </c>
      <c r="B121" s="399" t="n">
        <v>5</v>
      </c>
    </row>
    <row r="122">
      <c r="A122" s="398" t="inlineStr">
        <is>
          <t>Restaurant</t>
        </is>
      </c>
      <c r="B122" s="399" t="n">
        <v>2</v>
      </c>
    </row>
    <row r="123">
      <c r="A123" s="398" t="inlineStr">
        <is>
          <t>Retail (Special Lines)</t>
        </is>
      </c>
      <c r="B123" s="399" t="n">
        <v>2</v>
      </c>
    </row>
    <row r="124">
      <c r="A124" s="398" t="inlineStr">
        <is>
          <t>Retail Building Supply</t>
        </is>
      </c>
      <c r="B124" s="399" t="n">
        <v>2</v>
      </c>
    </row>
    <row r="125">
      <c r="A125" s="398" t="inlineStr">
        <is>
          <t>Retail Store</t>
        </is>
      </c>
      <c r="B125" s="399" t="n">
        <v>2</v>
      </c>
    </row>
    <row r="126">
      <c r="A126" s="398" t="inlineStr">
        <is>
          <t>Securities Brokerage</t>
        </is>
      </c>
      <c r="B126" s="399" t="n">
        <v>2</v>
      </c>
    </row>
    <row r="127">
      <c r="A127" s="398" t="inlineStr">
        <is>
          <t>Semiconductor</t>
        </is>
      </c>
      <c r="B127" s="399" t="n">
        <v>5</v>
      </c>
    </row>
    <row r="128">
      <c r="A128" s="398" t="inlineStr">
        <is>
          <t>Semiconductor Cap Equip</t>
        </is>
      </c>
      <c r="B128" s="399" t="n">
        <v>5</v>
      </c>
    </row>
    <row r="129">
      <c r="A129" s="398" t="inlineStr">
        <is>
          <t>Shoe</t>
        </is>
      </c>
      <c r="B129" s="399" t="n">
        <v>3</v>
      </c>
    </row>
    <row r="130">
      <c r="A130" s="398" t="inlineStr">
        <is>
          <t>Steel (General)</t>
        </is>
      </c>
      <c r="B130" s="399" t="n">
        <v>5</v>
      </c>
    </row>
    <row r="131">
      <c r="A131" s="398" t="inlineStr">
        <is>
          <t>Steel (Integrated)</t>
        </is>
      </c>
      <c r="B131" s="399" t="n">
        <v>5</v>
      </c>
    </row>
    <row r="132">
      <c r="A132" s="398" t="inlineStr">
        <is>
          <t>Telecom. Equipment</t>
        </is>
      </c>
      <c r="B132" s="399" t="n">
        <v>10</v>
      </c>
    </row>
    <row r="133">
      <c r="A133" s="398" t="inlineStr">
        <is>
          <t>Telecom. Services</t>
        </is>
      </c>
      <c r="B133" s="399" t="n">
        <v>5</v>
      </c>
    </row>
    <row r="134">
      <c r="A134" s="398" t="inlineStr">
        <is>
          <t>Textile</t>
        </is>
      </c>
      <c r="B134" s="399" t="n">
        <v>5</v>
      </c>
    </row>
    <row r="135">
      <c r="A135" s="398" t="inlineStr">
        <is>
          <t>Thrift</t>
        </is>
      </c>
      <c r="B135" s="399" t="n">
        <v>2</v>
      </c>
    </row>
    <row r="136">
      <c r="A136" s="398" t="inlineStr">
        <is>
          <t>Tire &amp; Rubber</t>
        </is>
      </c>
      <c r="B136" s="399" t="n">
        <v>5</v>
      </c>
    </row>
    <row r="137">
      <c r="A137" s="398" t="inlineStr">
        <is>
          <t>Tobacco</t>
        </is>
      </c>
      <c r="B137" s="399" t="n">
        <v>5</v>
      </c>
    </row>
    <row r="138">
      <c r="A138" s="398" t="inlineStr">
        <is>
          <t>Toiletries/Cosmetics</t>
        </is>
      </c>
      <c r="B138" s="399" t="n">
        <v>3</v>
      </c>
    </row>
    <row r="139">
      <c r="A139" s="398" t="inlineStr">
        <is>
          <t>Trucking/Transp. Leasing</t>
        </is>
      </c>
      <c r="B139" s="399" t="n">
        <v>5</v>
      </c>
    </row>
    <row r="140">
      <c r="A140" s="398" t="inlineStr">
        <is>
          <t>Utility (Foreign)</t>
        </is>
      </c>
      <c r="B140" s="399" t="n">
        <v>10</v>
      </c>
    </row>
    <row r="141">
      <c r="A141" s="402" t="inlineStr">
        <is>
          <t>Water Utility</t>
        </is>
      </c>
      <c r="B141" s="403" t="n">
        <v>10</v>
      </c>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4"/>
  <sheetViews>
    <sheetView zoomScale="148" zoomScaleNormal="148" workbookViewId="0">
      <selection activeCell="J27" sqref="J27"/>
    </sheetView>
  </sheetViews>
  <sheetFormatPr baseColWidth="10" defaultRowHeight="13"/>
  <sheetData>
    <row r="1" ht="18" customFormat="1" customHeight="1" s="5">
      <c r="A1" s="15" t="inlineStr">
        <is>
          <t>Operating Lease Converter</t>
        </is>
      </c>
      <c r="B1" s="15" t="n"/>
      <c r="C1" s="15" t="n"/>
      <c r="D1" s="15" t="n"/>
      <c r="E1" s="15" t="n"/>
      <c r="F1" s="15" t="n"/>
      <c r="G1" s="15" t="n"/>
      <c r="H1" s="15" t="n"/>
      <c r="I1" s="15" t="n"/>
      <c r="J1" s="15" t="n"/>
      <c r="K1" s="15" t="n"/>
    </row>
    <row r="2" ht="19" customFormat="1" customHeight="1" s="5" thickBot="1">
      <c r="A2" s="15" t="inlineStr">
        <is>
          <t>The yellow cells are input cells. Please enter them.</t>
        </is>
      </c>
      <c r="B2" s="15" t="n"/>
      <c r="C2" s="15" t="n"/>
      <c r="D2" s="15" t="n"/>
      <c r="E2" s="15" t="n"/>
      <c r="F2" s="15" t="n"/>
      <c r="G2" s="15" t="n"/>
      <c r="H2" s="15" t="n"/>
      <c r="I2" s="15" t="n"/>
      <c r="J2" s="15" t="n"/>
      <c r="K2" s="15" t="n"/>
    </row>
    <row r="3" ht="13" customFormat="1" customHeight="1" s="11">
      <c r="A3" s="11" t="inlineStr">
        <is>
          <t>Inputs</t>
        </is>
      </c>
      <c r="H3" s="794"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79" t="n"/>
      <c r="J3" s="679" t="n"/>
      <c r="K3" s="679" t="n"/>
      <c r="L3" s="680" t="n"/>
    </row>
    <row r="4" customFormat="1" s="6">
      <c r="A4" s="6" t="inlineStr">
        <is>
          <t>Operating lease expense in current year =</t>
        </is>
      </c>
      <c r="E4" s="795" t="n">
        <v>295</v>
      </c>
      <c r="H4" s="681" t="n"/>
      <c r="L4" s="682" t="n"/>
    </row>
    <row r="5" customFormat="1" s="9">
      <c r="A5" s="9" t="inlineStr">
        <is>
          <t>Operating Lease Commitments (From footnote to financials)</t>
        </is>
      </c>
      <c r="H5" s="681" t="n"/>
      <c r="L5" s="682" t="n"/>
    </row>
    <row r="6" customFormat="1" s="6">
      <c r="A6" s="16" t="inlineStr">
        <is>
          <t>Year</t>
        </is>
      </c>
      <c r="B6" s="16" t="inlineStr">
        <is>
          <t>Commitment</t>
        </is>
      </c>
      <c r="C6" s="6" t="inlineStr">
        <is>
          <t>! Year 1 is next year, ….</t>
        </is>
      </c>
      <c r="H6" s="681" t="n"/>
      <c r="L6" s="682" t="n"/>
    </row>
    <row r="7" customFormat="1" s="6">
      <c r="A7" s="16" t="n">
        <v>1</v>
      </c>
      <c r="B7" s="796" t="n">
        <v>287</v>
      </c>
      <c r="H7" s="681" t="n"/>
      <c r="L7" s="682" t="n"/>
    </row>
    <row r="8" customFormat="1" s="6">
      <c r="A8" s="16" t="n">
        <v>2</v>
      </c>
      <c r="B8" s="796" t="n">
        <v>235</v>
      </c>
      <c r="H8" s="681" t="n"/>
      <c r="L8" s="682" t="n"/>
    </row>
    <row r="9" customFormat="1" s="6">
      <c r="A9" s="16" t="n">
        <v>3</v>
      </c>
      <c r="B9" s="796" t="n">
        <v>194</v>
      </c>
      <c r="H9" s="681" t="n"/>
      <c r="L9" s="682" t="n"/>
    </row>
    <row r="10" customFormat="1" s="6">
      <c r="A10" s="16" t="n">
        <v>4</v>
      </c>
      <c r="B10" s="796" t="n">
        <v>151</v>
      </c>
      <c r="H10" s="681" t="n"/>
      <c r="L10" s="682" t="n"/>
    </row>
    <row r="11" ht="14" customFormat="1" customHeight="1" s="6" thickBot="1">
      <c r="A11" s="16" t="n">
        <v>5</v>
      </c>
      <c r="B11" s="796" t="n">
        <v>98</v>
      </c>
      <c r="H11" s="685" t="n"/>
      <c r="I11" s="686" t="n"/>
      <c r="J11" s="686" t="n"/>
      <c r="K11" s="686" t="n"/>
      <c r="L11" s="687" t="n"/>
    </row>
    <row r="12" ht="14" customFormat="1" customHeight="1" s="6">
      <c r="A12" s="16" t="inlineStr">
        <is>
          <t>6 and beyond</t>
        </is>
      </c>
      <c r="B12" s="142" t="n">
        <v>605</v>
      </c>
    </row>
    <row r="13" customFormat="1" s="6"/>
    <row r="14" ht="17" customFormat="1" customHeight="1" s="17" thickBot="1">
      <c r="A14" s="17" t="inlineStr">
        <is>
          <t>Output</t>
        </is>
      </c>
    </row>
    <row r="15" ht="14"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97"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98">
        <f>B7</f>
        <v/>
      </c>
      <c r="C22" s="799">
        <f>B22/(1+$C$15)^A22</f>
        <v/>
      </c>
    </row>
    <row r="23" customFormat="1" s="6">
      <c r="A23" s="12">
        <f>A8</f>
        <v/>
      </c>
      <c r="B23" s="798">
        <f>B8</f>
        <v/>
      </c>
      <c r="C23" s="799">
        <f>B23/(1+$C$15)^A23</f>
        <v/>
      </c>
    </row>
    <row r="24" customFormat="1" s="6">
      <c r="A24" s="12">
        <f>A9</f>
        <v/>
      </c>
      <c r="B24" s="798">
        <f>B9</f>
        <v/>
      </c>
      <c r="C24" s="799">
        <f>B24/(1+$C$15)^A24</f>
        <v/>
      </c>
    </row>
    <row r="25" customFormat="1" s="6">
      <c r="A25" s="12">
        <f>A10</f>
        <v/>
      </c>
      <c r="B25" s="798">
        <f>B10</f>
        <v/>
      </c>
      <c r="C25" s="799">
        <f>B25/(1+$C$15)^A25</f>
        <v/>
      </c>
    </row>
    <row r="26" customFormat="1" s="6">
      <c r="A26" s="12">
        <f>A11</f>
        <v/>
      </c>
      <c r="B26" s="798">
        <f>B11</f>
        <v/>
      </c>
      <c r="C26" s="799">
        <f>B26/(1+$C$15)^A26</f>
        <v/>
      </c>
    </row>
    <row r="27" ht="14" customFormat="1" customHeight="1" s="6" thickBot="1">
      <c r="A27" s="22">
        <f>A12</f>
        <v/>
      </c>
      <c r="B27" s="800">
        <f>IF(B12&gt;0,IF(D18&gt;0,B12/D18,B12),0)</f>
        <v/>
      </c>
      <c r="C27" s="801">
        <f>IF(D18&gt;0,(B27*(1-(1+C15)^(-D18))/C15)/(1+$C$15)^5,B27/(1+C15)^6)</f>
        <v/>
      </c>
      <c r="D27" s="6" t="inlineStr">
        <is>
          <t>! Commitment beyond year 6 converted into an annuity for ten years</t>
        </is>
      </c>
    </row>
    <row r="28" ht="14" customFormat="1" customHeight="1" s="6" thickBot="1">
      <c r="A28" s="18" t="inlineStr">
        <is>
          <t>Debt Value of leases =</t>
        </is>
      </c>
      <c r="B28" s="25" t="n"/>
      <c r="C28" s="802">
        <f>SUM(C22:C27)</f>
        <v/>
      </c>
    </row>
    <row r="29" customFormat="1" s="6"/>
    <row r="30" customFormat="1" s="6">
      <c r="A30" s="9" t="inlineStr">
        <is>
          <t>Restated Financials</t>
        </is>
      </c>
    </row>
    <row r="31" ht="14" customFormat="1" customHeight="1" s="6" thickBot="1">
      <c r="A31" s="6" t="inlineStr">
        <is>
          <t>Depreciation on Operating Lease Asset =</t>
        </is>
      </c>
      <c r="F31" s="801">
        <f>C28/(5+D18)</f>
        <v/>
      </c>
      <c r="G31" s="6" t="inlineStr">
        <is>
          <t>! I use straight line depreciation</t>
        </is>
      </c>
    </row>
    <row r="32" ht="14" customFormat="1" customHeight="1" s="6" thickBot="1">
      <c r="A32" s="6" t="inlineStr">
        <is>
          <t>Adjustment to Operating Earnings =</t>
        </is>
      </c>
      <c r="F32" s="803">
        <f>E4-F31</f>
        <v/>
      </c>
      <c r="G32" s="6" t="inlineStr">
        <is>
          <t>! Add this amount to pre-tax operating income</t>
        </is>
      </c>
    </row>
    <row r="33" ht="14" customFormat="1" customHeight="1" s="6" thickBot="1">
      <c r="A33" s="6" t="inlineStr">
        <is>
          <t>Adjustment to Total Debt outstanding =</t>
        </is>
      </c>
      <c r="F33" s="804">
        <f>C28</f>
        <v/>
      </c>
      <c r="G33" s="6" t="inlineStr">
        <is>
          <t>! Add this amount to debt</t>
        </is>
      </c>
    </row>
    <row r="34" ht="14" customHeight="1">
      <c r="A34" s="6" t="inlineStr">
        <is>
          <t>Adjustment to Depreciation =</t>
        </is>
      </c>
      <c r="F34" s="805">
        <f>C28/(5+D18)</f>
        <v/>
      </c>
    </row>
  </sheetData>
  <mergeCells count="1">
    <mergeCell ref="H3:L1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91"/>
  <sheetViews>
    <sheetView topLeftCell="A33" workbookViewId="0">
      <selection activeCell="D87" sqref="D87"/>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4.6640625" customWidth="1" min="10" max="10"/>
    <col width="18.1640625" bestFit="1" customWidth="1" min="11" max="11"/>
    <col width="17.5" customWidth="1" min="12" max="12"/>
  </cols>
  <sheetData>
    <row r="1">
      <c r="A1" s="642"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23" t="n"/>
      <c r="C1" s="723" t="n"/>
      <c r="D1" s="723" t="n"/>
      <c r="E1" s="723" t="n"/>
      <c r="F1" s="723" t="n"/>
      <c r="G1" s="723" t="n"/>
      <c r="H1" s="723" t="n"/>
      <c r="I1" s="723" t="n"/>
      <c r="J1" s="723" t="n"/>
      <c r="K1" s="724" t="n"/>
    </row>
    <row r="2">
      <c r="A2" s="728" t="n"/>
      <c r="B2" s="729" t="n"/>
      <c r="C2" s="729" t="n"/>
      <c r="D2" s="729" t="n"/>
      <c r="E2" s="729" t="n"/>
      <c r="F2" s="729" t="n"/>
      <c r="G2" s="729" t="n"/>
      <c r="H2" s="729" t="n"/>
      <c r="I2" s="729" t="n"/>
      <c r="J2" s="729" t="n"/>
      <c r="K2" s="730" t="n"/>
    </row>
    <row r="3" ht="19" customFormat="1" customHeight="1" s="59" thickBot="1">
      <c r="A3" s="643" t="inlineStr">
        <is>
          <t>Estimation of Current Cost of Capital</t>
        </is>
      </c>
      <c r="B3" s="723" t="n"/>
      <c r="C3" s="723" t="n"/>
      <c r="D3" s="723" t="n"/>
      <c r="E3" s="723" t="n"/>
      <c r="G3" s="72" t="inlineStr">
        <is>
          <t>Operating Countries ERP calculator</t>
        </is>
      </c>
    </row>
    <row r="4" ht="15" customFormat="1" customHeight="1" s="8">
      <c r="A4" s="806"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79" t="n"/>
      <c r="C4" s="679" t="n"/>
      <c r="D4" s="679" t="n"/>
      <c r="E4" s="680" t="n"/>
      <c r="F4" s="59" t="n"/>
      <c r="G4" s="83" t="inlineStr">
        <is>
          <t>Country</t>
        </is>
      </c>
      <c r="H4" s="83" t="inlineStr">
        <is>
          <t>Revenues</t>
        </is>
      </c>
      <c r="I4" s="83" t="inlineStr">
        <is>
          <t>ERP</t>
        </is>
      </c>
      <c r="J4" s="83" t="inlineStr">
        <is>
          <t>Weight</t>
        </is>
      </c>
      <c r="K4" s="83" t="inlineStr">
        <is>
          <t>Weighted ERP</t>
        </is>
      </c>
    </row>
    <row r="5" ht="15" customFormat="1" customHeight="1" s="6">
      <c r="A5" s="681" t="n"/>
      <c r="E5" s="682" t="n"/>
      <c r="F5" s="59" t="n"/>
      <c r="G5" s="81" t="inlineStr">
        <is>
          <t>United States</t>
        </is>
      </c>
      <c r="H5" s="81" t="n">
        <v>193636</v>
      </c>
      <c r="I5" s="66">
        <f>IF(H5=0,0,VLOOKUP(G5,'Country equity risk premiums'!$A$5:$D$196,4))</f>
        <v/>
      </c>
      <c r="J5" s="66">
        <f>IF(H5&gt;0,H5/$H$18,)</f>
        <v/>
      </c>
      <c r="K5" s="66">
        <f>IF(J5=0,0,I5*J5)</f>
        <v/>
      </c>
      <c r="M5" s="641"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1" t="n"/>
      <c r="E6" s="682" t="n"/>
      <c r="F6" s="59" t="n"/>
      <c r="G6" s="81" t="inlineStr">
        <is>
          <t>China</t>
        </is>
      </c>
      <c r="H6" s="81" t="n">
        <v>500</v>
      </c>
      <c r="I6" s="66">
        <f>IF(H6=0,0,VLOOKUP(G6,'Country equity risk premiums'!$A$5:$D$196,4))</f>
        <v/>
      </c>
      <c r="J6" s="66">
        <f>IF(H6&gt;0,H6/$H$18,)</f>
        <v/>
      </c>
      <c r="K6" s="66">
        <f>IF(J6=0,0,I6*J6)</f>
        <v/>
      </c>
    </row>
    <row r="7" ht="15" customFormat="1" customHeight="1" s="6">
      <c r="A7" s="681" t="n"/>
      <c r="E7" s="682" t="n"/>
      <c r="F7" s="59" t="n"/>
      <c r="G7" s="81" t="n"/>
      <c r="H7" s="81" t="n"/>
      <c r="I7" s="66">
        <f>IF(H7=0,0,VLOOKUP(G7,'Country equity risk premiums'!$A$5:$D$196,4))</f>
        <v/>
      </c>
      <c r="J7" s="66">
        <f>IF(H7&gt;0,H7/$H$18,)</f>
        <v/>
      </c>
      <c r="K7" s="66">
        <f>IF(J7=0,0,I7*J7)</f>
        <v/>
      </c>
    </row>
    <row r="8" ht="15" customFormat="1" customHeight="1" s="6">
      <c r="A8" s="681" t="n"/>
      <c r="E8" s="682" t="n"/>
      <c r="F8" s="59" t="n"/>
      <c r="G8" s="81" t="n"/>
      <c r="H8" s="81" t="n"/>
      <c r="I8" s="66">
        <f>IF(H8=0,0,VLOOKUP(G8,'Country equity risk premiums'!$A$5:$D$196,4))</f>
        <v/>
      </c>
      <c r="J8" s="66">
        <f>IF(H8&gt;0,H8/$H$18,)</f>
        <v/>
      </c>
      <c r="K8" s="66">
        <f>IF(J8=0,0,I8*J8)</f>
        <v/>
      </c>
    </row>
    <row r="9" ht="15" customFormat="1" customHeight="1" s="6" thickBot="1">
      <c r="A9" s="685" t="n"/>
      <c r="B9" s="686" t="n"/>
      <c r="C9" s="686" t="n"/>
      <c r="D9" s="686" t="n"/>
      <c r="E9" s="687" t="n"/>
      <c r="F9" s="59" t="n"/>
      <c r="G9" s="81" t="n"/>
      <c r="H9" s="81" t="n"/>
      <c r="I9" s="66">
        <f>IF(H9=0,0,VLOOKUP(G9,'Country equity risk premiums'!$A$5:$D$196,4))</f>
        <v/>
      </c>
      <c r="J9" s="66">
        <f>IF(H9&gt;0,H9/$H$18,)</f>
        <v/>
      </c>
      <c r="K9" s="66">
        <f>IF(J9=0,0,I9*J9)</f>
        <v/>
      </c>
    </row>
    <row r="10" ht="15" customFormat="1" customHeight="1" s="6">
      <c r="A10" s="182" t="n"/>
      <c r="B10" s="182" t="n"/>
      <c r="C10" s="182" t="n"/>
      <c r="D10" s="182" t="n"/>
      <c r="E10" s="182" t="n"/>
      <c r="F10" s="59" t="n"/>
      <c r="G10" s="81" t="n"/>
      <c r="H10" s="81" t="n"/>
      <c r="I10" s="66">
        <f>IF(H10=0,0,VLOOKUP(G10,'Country equity risk premiums'!$A$5:$D$196,4))</f>
        <v/>
      </c>
      <c r="J10" s="66">
        <f>IF(H10&gt;0,H10/$H$18,)</f>
        <v/>
      </c>
      <c r="K10" s="66">
        <f>IF(J10=0,0,I10*J10)</f>
        <v/>
      </c>
    </row>
    <row r="11" ht="15" customFormat="1" customHeight="1" s="6">
      <c r="A11" s="182" t="inlineStr">
        <is>
          <t>Which approach will you be using?</t>
        </is>
      </c>
      <c r="B11" s="183" t="inlineStr">
        <is>
          <t>Detailed</t>
        </is>
      </c>
      <c r="C11" s="182" t="n"/>
      <c r="D11" s="182" t="n"/>
      <c r="E11" s="182" t="n"/>
      <c r="F11" s="59" t="n"/>
      <c r="G11" s="81" t="n"/>
      <c r="H11" s="81" t="n"/>
      <c r="I11" s="66">
        <f>IF(H11=0,0,VLOOKUP(G11,'Country equity risk premiums'!$A$5:$D$196,4))</f>
        <v/>
      </c>
      <c r="J11" s="66">
        <f>IF(H11&gt;0,H11/$H$18,)</f>
        <v/>
      </c>
      <c r="K11" s="66">
        <f>IF(J11=0,0,I11*J11)</f>
        <v/>
      </c>
    </row>
    <row r="12" ht="15" customFormat="1" customHeight="1" s="6">
      <c r="A12" s="182" t="inlineStr">
        <is>
          <t>If direct input, enter cost of capital to use</t>
        </is>
      </c>
      <c r="B12" s="184" t="n">
        <v>0.09</v>
      </c>
      <c r="C12" s="182" t="n"/>
      <c r="D12" s="182" t="n"/>
      <c r="E12" s="182" t="n"/>
      <c r="F12" s="59" t="n"/>
      <c r="G12" s="81" t="n"/>
      <c r="H12" s="81" t="n"/>
      <c r="I12" s="66">
        <f>IF(H12=0,0,VLOOKUP(G12,'Country equity risk premiums'!$A$5:$D$196,4))</f>
        <v/>
      </c>
      <c r="J12" s="66">
        <f>IF(H12&gt;0,H12/$H$18,)</f>
        <v/>
      </c>
      <c r="K12" s="66">
        <f>IF(J12=0,0,I12*J12)</f>
        <v/>
      </c>
    </row>
    <row r="13" ht="15" customFormat="1" customHeight="1" s="6">
      <c r="A13" s="182" t="inlineStr">
        <is>
          <t>Cost of capital based upon approach =</t>
        </is>
      </c>
      <c r="B13" s="185">
        <f>IF(B11="I will input",B12,IF(B11="Detailed",E62,IF(B11="Industry Average",B67,B72)))</f>
        <v/>
      </c>
      <c r="C13" s="182" t="n"/>
      <c r="D13" s="182" t="n"/>
      <c r="E13" s="182" t="n"/>
      <c r="F13" s="59" t="n"/>
      <c r="G13" s="81" t="n"/>
      <c r="H13" s="81" t="n"/>
      <c r="I13" s="66">
        <f>IF(H13=0,0,VLOOKUP(G13,'Country equity risk premiums'!$A$5:$D$196,4))</f>
        <v/>
      </c>
      <c r="J13" s="66">
        <f>IF(H13&gt;0,H13/$H$18,)</f>
        <v/>
      </c>
      <c r="K13" s="66">
        <f>IF(J13=0,0,I13*J13)</f>
        <v/>
      </c>
    </row>
    <row r="14" ht="15" customFormat="1" customHeight="1" s="6" thickBot="1">
      <c r="A14" s="182" t="n"/>
      <c r="B14" s="182" t="n"/>
      <c r="C14" s="182" t="n"/>
      <c r="D14" s="182" t="n"/>
      <c r="E14" s="182" t="n"/>
      <c r="F14" s="59" t="n"/>
      <c r="G14" s="81" t="n"/>
      <c r="H14" s="81" t="n"/>
      <c r="I14" s="66">
        <f>IF(H14=0,0,VLOOKUP(G14,'Country equity risk premiums'!$A$5:$D$196,4))</f>
        <v/>
      </c>
      <c r="J14" s="66">
        <f>IF(H14&gt;0,H14/$H$18,)</f>
        <v/>
      </c>
      <c r="K14" s="66">
        <f>IF(J14=0,0,I14*J14)</f>
        <v/>
      </c>
    </row>
    <row r="15" ht="15" customFormat="1" customHeight="1" s="6" thickBot="1">
      <c r="A15" s="807" t="inlineStr">
        <is>
          <t>Approach 1: Detailed Cost of Capital</t>
        </is>
      </c>
      <c r="B15" s="746" t="n"/>
      <c r="C15" s="746" t="n"/>
      <c r="D15" s="746" t="n"/>
      <c r="E15" s="746" t="n"/>
      <c r="F15" s="773" t="n"/>
      <c r="G15" s="81" t="n"/>
      <c r="H15" s="81" t="n"/>
      <c r="I15" s="66">
        <f>IF(H15=0,0,VLOOKUP(G15,'Country equity risk premiums'!$A$5:$D$196,4))</f>
        <v/>
      </c>
      <c r="J15" s="66">
        <f>IF(H15&gt;0,H15/$H$18,)</f>
        <v/>
      </c>
      <c r="K15" s="66">
        <f>IF(J15=0,0,I15*J15)</f>
        <v/>
      </c>
    </row>
    <row r="16" ht="15" customFormat="1" customHeight="1" s="6">
      <c r="A16" s="8" t="inlineStr">
        <is>
          <t>Inputs</t>
        </is>
      </c>
      <c r="B16" s="174" t="n"/>
      <c r="C16" s="107" t="n"/>
      <c r="D16" s="8" t="n"/>
      <c r="E16" s="8" t="n"/>
      <c r="F16" s="8" t="n"/>
      <c r="G16" s="139" t="inlineStr">
        <is>
          <t>Rest of the World</t>
        </is>
      </c>
      <c r="H16" s="81" t="n">
        <v>31335</v>
      </c>
      <c r="I16" s="145" t="n">
        <v>0.0641</v>
      </c>
      <c r="J16" s="66">
        <f>IF(H16&gt;0,H16/$H$18,)</f>
        <v/>
      </c>
      <c r="K16" s="66">
        <f>IF(J16=0,0,I16*J16)</f>
        <v/>
      </c>
    </row>
    <row r="17" ht="15" customFormat="1" customHeight="1" s="6">
      <c r="A17" s="11" t="inlineStr">
        <is>
          <t>Equity</t>
        </is>
      </c>
      <c r="B17" s="175" t="n"/>
      <c r="G17" s="139" t="n"/>
      <c r="H17" s="81" t="n"/>
      <c r="I17" s="139"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808">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809">
        <f>I21*J21</f>
        <v/>
      </c>
    </row>
    <row r="22" ht="15" customFormat="1" customHeight="1" s="6">
      <c r="A22" s="6" t="inlineStr">
        <is>
          <t>If direct input, enter levered beta (or regression beta)</t>
        </is>
      </c>
      <c r="B22" s="108" t="n">
        <v>1.2</v>
      </c>
      <c r="G22" s="12">
        <f>'Country equity risk premiums'!A202</f>
        <v/>
      </c>
      <c r="H22" s="81" t="n">
        <v>5455</v>
      </c>
      <c r="I22" s="13">
        <f>'Country equity risk premiums'!B202</f>
        <v/>
      </c>
      <c r="J22" s="66">
        <f>H22/$H$32</f>
        <v/>
      </c>
      <c r="K22" s="809">
        <f>I22*J22</f>
        <v/>
      </c>
    </row>
    <row r="23" ht="15" customFormat="1" customHeight="1" s="6">
      <c r="A23" s="6" t="inlineStr">
        <is>
          <t>Unlevered beta =</t>
        </is>
      </c>
      <c r="B23" s="63">
        <f>IF(B21="Single Business(US)",VLOOKUP('Input sheet'!B8,'Industry Averages(US)'!A2:G95,7),IF(B21="Multibusiness(US)",K48,IF(B21="Single Business(Global)",VLOOKUP('Input sheet'!B9,'Industry Averages (Global)'!A2:G95,7),'Cost of capital worksheet'!K64)))</f>
        <v/>
      </c>
      <c r="G23" s="12">
        <f>'Country equity risk premiums'!A203</f>
        <v/>
      </c>
      <c r="H23" s="81" t="n"/>
      <c r="I23" s="13">
        <f>'Country equity risk premiums'!B203</f>
        <v/>
      </c>
      <c r="J23" s="66">
        <f>H23/$H$32</f>
        <v/>
      </c>
      <c r="K23" s="809">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809">
        <f>I24*J24</f>
        <v/>
      </c>
    </row>
    <row r="25" ht="15" customFormat="1" customHeight="1" s="6">
      <c r="A25" s="6" t="inlineStr">
        <is>
          <t>What approach do you want to use to input ERP?</t>
        </is>
      </c>
      <c r="B25" s="103" t="inlineStr">
        <is>
          <t>Will Input</t>
        </is>
      </c>
      <c r="G25" s="12">
        <f>'Country equity risk premiums'!A205</f>
        <v/>
      </c>
      <c r="H25" s="81" t="n">
        <v>5830</v>
      </c>
      <c r="I25" s="13">
        <f>'Country equity risk premiums'!B205</f>
        <v/>
      </c>
      <c r="J25" s="66">
        <f>H25/$H$32</f>
        <v/>
      </c>
      <c r="K25" s="809">
        <f>I25*J25</f>
        <v/>
      </c>
    </row>
    <row r="26" ht="15" customFormat="1" customHeight="1" s="6">
      <c r="A26" s="6" t="inlineStr">
        <is>
          <t>Direct input for ERP (if you choose "will input"</t>
        </is>
      </c>
      <c r="B26" s="103" t="n">
        <v>0.05</v>
      </c>
      <c r="G26" s="12">
        <f>'Country equity risk premiums'!A206</f>
        <v/>
      </c>
      <c r="H26" s="81" t="n"/>
      <c r="I26" s="13">
        <f>'Country equity risk premiums'!B206</f>
        <v/>
      </c>
      <c r="J26" s="66">
        <f>H26/$H$32</f>
        <v/>
      </c>
      <c r="K26" s="809">
        <f>I26*J26</f>
        <v/>
      </c>
    </row>
    <row r="27" ht="15" customFormat="1" customHeight="1" s="6">
      <c r="A27" s="6" t="inlineStr">
        <is>
          <t>Equity Risk Premium used in cost of equity =</t>
        </is>
      </c>
      <c r="B27" s="104">
        <f>IF(B25="Will Input",B26,IF(B25="Country of Incorporation",VLOOKUP('Input sheet'!B7,'Country equity risk premiums'!A5:E195,4),IF(B25="Operating regions",'Cost of capital worksheet'!K32,'Cost of capital worksheet'!K18)))</f>
        <v/>
      </c>
      <c r="G27" s="12">
        <f>'Country equity risk premiums'!A207</f>
        <v/>
      </c>
      <c r="H27" s="81" t="n"/>
      <c r="I27" s="13">
        <f>'Country equity risk premiums'!B207</f>
        <v/>
      </c>
      <c r="J27" s="66">
        <f>H27/$H$32</f>
        <v/>
      </c>
      <c r="K27" s="809">
        <f>I27*J27</f>
        <v/>
      </c>
    </row>
    <row r="28" ht="15" customFormat="1" customHeight="1" s="6">
      <c r="G28" s="12">
        <f>'Country equity risk premiums'!A208</f>
        <v/>
      </c>
      <c r="H28" s="81" t="n">
        <v>16774</v>
      </c>
      <c r="I28" s="13">
        <f>'Country equity risk premiums'!B208</f>
        <v/>
      </c>
      <c r="J28" s="66">
        <f>H28/$H$32</f>
        <v/>
      </c>
      <c r="K28" s="809">
        <f>I28*J28</f>
        <v/>
      </c>
    </row>
    <row r="29" ht="15" customFormat="1" customHeight="1" s="6">
      <c r="A29" s="11" t="inlineStr">
        <is>
          <t>Debt</t>
        </is>
      </c>
      <c r="G29" s="12">
        <f>'Country equity risk premiums'!A209</f>
        <v/>
      </c>
      <c r="H29" s="81" t="n"/>
      <c r="I29" s="13">
        <f>'Country equity risk premiums'!B209</f>
        <v/>
      </c>
      <c r="J29" s="66">
        <f>H29/$H$32</f>
        <v/>
      </c>
      <c r="K29" s="809">
        <f>I29*J29</f>
        <v/>
      </c>
    </row>
    <row r="30" ht="15" customFormat="1" customHeight="1" s="6">
      <c r="A30" s="6" t="inlineStr">
        <is>
          <t>Book Value of Straight Debt =</t>
        </is>
      </c>
      <c r="B30" s="808">
        <f>'Input sheet'!B15</f>
        <v/>
      </c>
      <c r="G30" s="81" t="inlineStr">
        <is>
          <t>EMEA</t>
        </is>
      </c>
      <c r="H30" s="81" t="n">
        <v>8078</v>
      </c>
      <c r="I30" s="140" t="n">
        <v>0.0587</v>
      </c>
      <c r="J30" s="66">
        <f>H30/$H$32</f>
        <v/>
      </c>
      <c r="K30" s="809">
        <f>I30*J30</f>
        <v/>
      </c>
    </row>
    <row r="31" ht="15" customFormat="1" customHeight="1" s="6">
      <c r="A31" s="6" t="inlineStr">
        <is>
          <t>Interest Expense on Debt =</t>
        </is>
      </c>
      <c r="B31" s="808">
        <f>'Input sheet'!B13</f>
        <v/>
      </c>
      <c r="G31" s="81" t="inlineStr">
        <is>
          <t>Rest of the World</t>
        </is>
      </c>
      <c r="H31" s="81" t="n">
        <v>10924</v>
      </c>
      <c r="I31" s="140" t="n">
        <v>0.055</v>
      </c>
      <c r="J31" s="66">
        <f>H31/$H$32</f>
        <v/>
      </c>
      <c r="K31" s="809">
        <f>I31*J31</f>
        <v/>
      </c>
    </row>
    <row r="32" ht="15" customFormat="1" customHeight="1" s="6">
      <c r="A32" s="6" t="inlineStr">
        <is>
          <t>Average Maturity =</t>
        </is>
      </c>
      <c r="B32" s="60" t="n">
        <v>3</v>
      </c>
      <c r="G32" s="82" t="inlineStr">
        <is>
          <t>Total</t>
        </is>
      </c>
      <c r="H32" s="82">
        <f>SUM(H21:H31)</f>
        <v/>
      </c>
      <c r="I32" s="68" t="n"/>
      <c r="J32" s="66">
        <f>SUM(J21:J31)</f>
        <v/>
      </c>
      <c r="K32" s="810">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811" t="n">
        <v>0.04</v>
      </c>
      <c r="G34" s="59" t="inlineStr">
        <is>
          <t>Multi Business (US Industry Averages)</t>
        </is>
      </c>
    </row>
    <row r="35" ht="15" customFormat="1" customHeight="1" s="6">
      <c r="A35" s="6" t="inlineStr">
        <is>
          <t>If actual rating, input the rating</t>
        </is>
      </c>
      <c r="B35" s="75" t="inlineStr">
        <is>
          <t>Aaa/AAA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812" t="n">
        <v>195010</v>
      </c>
      <c r="I36" s="813">
        <f>IF(G36=0,,VLOOKUP(G36,'Industry Averages(US)'!$A$2:$S$95,15))</f>
        <v/>
      </c>
      <c r="J36" s="814">
        <f>H36*I36</f>
        <v/>
      </c>
      <c r="K36" s="815">
        <f>IF(I36=0,0,VLOOKUP(G36,'Industry Averages(US)'!$A$2:$S$95,7))</f>
        <v/>
      </c>
      <c r="L36" s="178">
        <f>IF(I36=0,0,VLOOKUP(G36,'Industry Averages(US)'!$A$2:$S$95,13))</f>
        <v/>
      </c>
    </row>
    <row r="37" ht="15" customFormat="1" customHeight="1" s="6">
      <c r="A37" s="6" t="inlineStr">
        <is>
          <t>Pre-tax Cost of Debt =</t>
        </is>
      </c>
      <c r="B37" s="104">
        <f>IF(B33="Direct Input",B34,IF(B33="Synthetic Rating",'Synthetic rating'!D16,B24+VLOOKUP('Cost of capital worksheet'!B35,'Synthetic rating'!G42:H56,2)))</f>
        <v/>
      </c>
      <c r="G37" s="81" t="inlineStr">
        <is>
          <t>Electronics (General)</t>
        </is>
      </c>
      <c r="H37" s="812" t="n">
        <v>43000</v>
      </c>
      <c r="I37" s="813">
        <f>IF(G37=0,,VLOOKUP(G37,'Industry Averages(US)'!$A$2:$S$95,15))</f>
        <v/>
      </c>
      <c r="J37" s="814">
        <f>H37*I37</f>
        <v/>
      </c>
      <c r="K37" s="815">
        <f>IF(I37=0,0,VLOOKUP(G37,'Industry Averages(US)'!$A$2:$S$95,7))</f>
        <v/>
      </c>
      <c r="L37" s="178">
        <f>IF(I37=0,0,VLOOKUP(G37,'Industry Averages(US)'!$A$2:$S$95,13))</f>
        <v/>
      </c>
    </row>
    <row r="38" ht="15" customFormat="1" customHeight="1" s="6">
      <c r="A38" s="6" t="inlineStr">
        <is>
          <t>Tax Rate =</t>
        </is>
      </c>
      <c r="B38" s="106">
        <f>'Input sheet'!B24</f>
        <v/>
      </c>
      <c r="G38" s="81" t="inlineStr">
        <is>
          <t>Entertainment</t>
        </is>
      </c>
      <c r="H38" s="812" t="n">
        <v>15000</v>
      </c>
      <c r="I38" s="813">
        <f>IF(G38=0,,VLOOKUP(G38,'Industry Averages(US)'!$A$2:$S$95,15))</f>
        <v/>
      </c>
      <c r="J38" s="814">
        <f>H38*I38</f>
        <v/>
      </c>
      <c r="K38" s="815">
        <f>IF(I38=0,0,VLOOKUP(G38,'Industry Averages(US)'!$A$2:$S$95,7))</f>
        <v/>
      </c>
      <c r="L38" s="178">
        <f>IF(I38=0,0,VLOOKUP(G38,'Industry Averages(US)'!$A$2:$S$95,13))</f>
        <v/>
      </c>
    </row>
    <row r="39" ht="15" customFormat="1" customHeight="1" s="6">
      <c r="G39" s="81" t="n"/>
      <c r="H39" s="812" t="n"/>
      <c r="I39" s="813">
        <f>IF(G39=0,,VLOOKUP(G39,'Industry Averages(US)'!$A$2:$S$95,15))</f>
        <v/>
      </c>
      <c r="J39" s="814">
        <f>H39*I39</f>
        <v/>
      </c>
      <c r="K39" s="815">
        <f>IF(I39=0,0,VLOOKUP(G39,'Industry Averages(US)'!$A$2:$S$95,7))</f>
        <v/>
      </c>
      <c r="L39" s="178">
        <f>IF(I39=0,0,VLOOKUP(G39,'Industry Averages(US)'!$A$2:$S$95,13))</f>
        <v/>
      </c>
    </row>
    <row r="40" ht="15" customFormat="1" customHeight="1" s="61">
      <c r="A40" s="6" t="inlineStr">
        <is>
          <t>Book Value of Convertible Debt =</t>
        </is>
      </c>
      <c r="B40" s="60" t="n">
        <v>0</v>
      </c>
      <c r="C40" s="6" t="n"/>
      <c r="D40" s="6" t="n"/>
      <c r="E40" s="6" t="n"/>
      <c r="F40" s="6" t="n"/>
      <c r="G40" s="81" t="n"/>
      <c r="H40" s="812" t="n"/>
      <c r="I40" s="813">
        <f>IF(G40=0,,VLOOKUP(G40,'Industry Averages(US)'!$A$2:$S$95,15))</f>
        <v/>
      </c>
      <c r="J40" s="814">
        <f>H40*I40</f>
        <v/>
      </c>
      <c r="K40" s="815">
        <f>IF(I40=0,0,VLOOKUP(G40,'Industry Averages(US)'!$A$2:$S$95,7))</f>
        <v/>
      </c>
      <c r="L40" s="178">
        <f>IF(I40=0,0,VLOOKUP(G40,'Industry Averages(US)'!$A$2:$S$95,13))</f>
        <v/>
      </c>
    </row>
    <row r="41" ht="15" customFormat="1" customHeight="1" s="6">
      <c r="A41" s="6" t="inlineStr">
        <is>
          <t>Interest Expense on Convertible =</t>
        </is>
      </c>
      <c r="B41" s="60" t="n">
        <v>0</v>
      </c>
      <c r="G41" s="81" t="n"/>
      <c r="H41" s="812" t="n"/>
      <c r="I41" s="813">
        <f>IF(G41=0,,VLOOKUP(G41,'Industry Averages(US)'!$A$2:$S$95,15))</f>
        <v/>
      </c>
      <c r="J41" s="814">
        <f>H41*I41</f>
        <v/>
      </c>
      <c r="K41" s="815">
        <f>IF(I41=0,0,VLOOKUP(G41,'Industry Averages(US)'!$A$2:$S$95,7))</f>
        <v/>
      </c>
      <c r="L41" s="178">
        <f>IF(I41=0,0,VLOOKUP(G41,'Industry Averages(US)'!$A$2:$S$95,13))</f>
        <v/>
      </c>
    </row>
    <row r="42" ht="15" customFormat="1" customHeight="1" s="6">
      <c r="A42" s="6" t="inlineStr">
        <is>
          <t>Maturity of Convertible Bond =</t>
        </is>
      </c>
      <c r="B42" s="60" t="n">
        <v>0</v>
      </c>
      <c r="G42" s="81" t="n"/>
      <c r="H42" s="812" t="n"/>
      <c r="I42" s="813">
        <f>IF(G42=0,,VLOOKUP(G42,'Industry Averages(US)'!$A$2:$S$95,15))</f>
        <v/>
      </c>
      <c r="J42" s="814">
        <f>H42*I42</f>
        <v/>
      </c>
      <c r="K42" s="815">
        <f>IF(I42=0,0,VLOOKUP(G42,'Industry Averages(US)'!$A$2:$S$95,7))</f>
        <v/>
      </c>
      <c r="L42" s="178">
        <f>IF(I42=0,0,VLOOKUP(G42,'Industry Averages(US)'!$A$2:$S$95,13))</f>
        <v/>
      </c>
    </row>
    <row r="43" ht="15" customFormat="1" customHeight="1" s="6">
      <c r="A43" s="6" t="inlineStr">
        <is>
          <t>Market Value of Convertible =</t>
        </is>
      </c>
      <c r="B43" s="60" t="n">
        <v>0</v>
      </c>
      <c r="G43" s="81" t="n"/>
      <c r="H43" s="812" t="n"/>
      <c r="I43" s="813">
        <f>IF(G43=0,,VLOOKUP(G43,'Industry Averages(US)'!$A$2:$S$95,15))</f>
        <v/>
      </c>
      <c r="J43" s="814">
        <f>H43*I43</f>
        <v/>
      </c>
      <c r="K43" s="815">
        <f>IF(I43=0,0,VLOOKUP(G43,'Industry Averages(US)'!$A$2:$S$95,7))</f>
        <v/>
      </c>
      <c r="L43" s="178">
        <f>IF(I43=0,0,VLOOKUP(G43,'Industry Averages(US)'!$A$2:$S$95,13))</f>
        <v/>
      </c>
    </row>
    <row r="44" ht="14" customHeight="1">
      <c r="A44" s="6" t="n"/>
      <c r="B44" s="6" t="n"/>
      <c r="C44" s="6" t="n"/>
      <c r="D44" s="6" t="n"/>
      <c r="E44" s="6" t="n"/>
      <c r="F44" s="6" t="n"/>
      <c r="G44" s="81" t="n"/>
      <c r="H44" s="812" t="n"/>
      <c r="I44" s="813">
        <f>IF(G44=0,,VLOOKUP(G44,'Industry Averages(US)'!$A$2:$S$95,15))</f>
        <v/>
      </c>
      <c r="J44" s="814">
        <f>H44*I44</f>
        <v/>
      </c>
      <c r="K44" s="815">
        <f>IF(I44=0,0,VLOOKUP(G44,'Industry Averages(US)'!$A$2:$S$95,7))</f>
        <v/>
      </c>
      <c r="L44" s="178">
        <f>IF(I44=0,0,VLOOKUP(G44,'Industry Averages(US)'!$A$2:$S$95,13))</f>
        <v/>
      </c>
      <c r="M44" s="640" t="inlineStr">
        <is>
          <t>The costt of capital  is in US dollars, using the riskfree rate at the start of the year. It will be adjusted for the difference in riskfree rates to make it more current and to change currencies.</t>
        </is>
      </c>
      <c r="N44" s="723" t="n"/>
      <c r="O44" s="724" t="n"/>
    </row>
    <row r="45" ht="14" customHeight="1">
      <c r="A45" s="6" t="inlineStr">
        <is>
          <t>Debt value of operating leases =</t>
        </is>
      </c>
      <c r="B45" s="808">
        <f>IF('Input sheet'!B17="Yes",'Operating lease converter'!F33,0)</f>
        <v/>
      </c>
      <c r="C45" s="6" t="n"/>
      <c r="D45" s="6" t="n"/>
      <c r="E45" s="6" t="n"/>
      <c r="F45" s="6" t="n"/>
      <c r="G45" s="81" t="n"/>
      <c r="H45" s="812" t="n"/>
      <c r="I45" s="813">
        <f>IF(G45=0,,VLOOKUP(G45,'Industry Averages(US)'!$A$2:$S$95,15))</f>
        <v/>
      </c>
      <c r="J45" s="814">
        <f>H45*I45</f>
        <v/>
      </c>
      <c r="K45" s="815">
        <f>IF(I45=0,0,VLOOKUP(G45,'Industry Averages(US)'!$A$2:$S$95,7))</f>
        <v/>
      </c>
      <c r="L45" s="178">
        <f>IF(I45=0,0,VLOOKUP(G45,'Industry Averages(US)'!$A$2:$S$95,13))</f>
        <v/>
      </c>
      <c r="M45" s="726" t="n"/>
      <c r="O45" s="727" t="n"/>
    </row>
    <row r="46" ht="14" customHeight="1">
      <c r="A46" s="6" t="n"/>
      <c r="B46" s="6" t="n"/>
      <c r="C46" s="6" t="n"/>
      <c r="D46" s="6" t="n"/>
      <c r="E46" s="6" t="n"/>
      <c r="F46" s="6" t="n"/>
      <c r="G46" s="81" t="n"/>
      <c r="H46" s="812" t="n"/>
      <c r="I46" s="813">
        <f>IF(G46=0,,VLOOKUP(G46,'Industry Averages(US)'!$A$2:$S$95,15))</f>
        <v/>
      </c>
      <c r="J46" s="814">
        <f>H46*I46</f>
        <v/>
      </c>
      <c r="K46" s="815">
        <f>IF(I46=0,0,VLOOKUP(G46,'Industry Averages(US)'!$A$2:$S$95,7))</f>
        <v/>
      </c>
      <c r="L46" s="178">
        <f>IF(I46=0,0,VLOOKUP(G46,'Industry Averages(US)'!$A$2:$S$95,13))</f>
        <v/>
      </c>
      <c r="M46" s="726" t="n"/>
      <c r="O46" s="727" t="n"/>
    </row>
    <row r="47" ht="14" customHeight="1">
      <c r="A47" s="11" t="inlineStr">
        <is>
          <t>Preferred Stock</t>
        </is>
      </c>
      <c r="B47" s="6" t="n"/>
      <c r="C47" s="6" t="n"/>
      <c r="D47" s="6" t="n"/>
      <c r="E47" s="6" t="n"/>
      <c r="F47" s="6" t="n"/>
      <c r="G47" s="81" t="n"/>
      <c r="H47" s="812" t="n"/>
      <c r="I47" s="813">
        <f>IF(G47=0,,VLOOKUP(G47,'Industry Averages(US)'!$A$2:$S$95,15))</f>
        <v/>
      </c>
      <c r="J47" s="814">
        <f>H47*I47</f>
        <v/>
      </c>
      <c r="K47" s="815">
        <f>IF(I47=0,0,VLOOKUP(G47,'Industry Averages(US)'!$A$2:$S$95,7))</f>
        <v/>
      </c>
      <c r="L47" s="178">
        <f>IF(I47=0,0,VLOOKUP(G47,'Industry Averages(US)'!$A$2:$S$95,13))</f>
        <v/>
      </c>
      <c r="M47" s="726" t="n"/>
      <c r="O47" s="727" t="n"/>
    </row>
    <row r="48" ht="14" customHeight="1">
      <c r="A48" s="6" t="inlineStr">
        <is>
          <t>Number of Preferred Shares =</t>
        </is>
      </c>
      <c r="B48" s="60" t="n">
        <v>0</v>
      </c>
      <c r="C48" s="6" t="n"/>
      <c r="D48" s="6" t="n"/>
      <c r="E48" s="6" t="n"/>
      <c r="F48" s="6" t="n"/>
      <c r="G48" s="89" t="inlineStr">
        <is>
          <t>Company</t>
        </is>
      </c>
      <c r="H48" s="816">
        <f>SUM(H36:H47)</f>
        <v/>
      </c>
      <c r="I48" s="817" t="n"/>
      <c r="J48" s="814">
        <f>SUM(J36:J47)</f>
        <v/>
      </c>
      <c r="K48" s="818">
        <f>K36*(J36/J48)+K37*J37/J48+K38*J38/J48+K39*J39/J48+K40*J40/J48+K41*J41/J48+K42*J42/J48+K43*J43/J48+K44*J44/J48+K45*J45/J48+K46*J46/J48+K47*J47/J48</f>
        <v/>
      </c>
      <c r="L48" s="179">
        <f>L36*(J36/J48)+L37*J37/J48+L38*J38/J48+L39*J39/J48+L40*J40/J48+L41*J41/J48+L42*J42/J48+L43*J43/J48+L44*J44/J48+L45*J45/J48+L46*J46/J48+L47*J47/J48</f>
        <v/>
      </c>
      <c r="M48" s="728" t="n"/>
      <c r="N48" s="729" t="n"/>
      <c r="O48" s="730" t="n"/>
    </row>
    <row r="49" ht="14"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09" t="inlineStr">
        <is>
          <t>Multi Business (Global Industry Averages)</t>
        </is>
      </c>
    </row>
    <row r="51" ht="14"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 customHeight="1">
      <c r="A52" s="8" t="inlineStr">
        <is>
          <t>Output</t>
        </is>
      </c>
      <c r="B52" s="6" t="n"/>
      <c r="C52" s="6" t="n"/>
      <c r="D52" s="6" t="n"/>
      <c r="E52" s="6" t="n"/>
      <c r="F52" s="6" t="n"/>
      <c r="G52" s="81" t="inlineStr">
        <is>
          <t>Electronics (General)</t>
        </is>
      </c>
      <c r="H52" s="812" t="n">
        <v>81363</v>
      </c>
      <c r="I52" s="813">
        <f>IF(G52=0,,VLOOKUP(G52,'Industry Averages (Global)'!$A$2:$O$95,15))</f>
        <v/>
      </c>
      <c r="J52" s="814">
        <f>H52*I52</f>
        <v/>
      </c>
      <c r="K52" s="813">
        <f>IF(G52=0,,VLOOKUP(G52,'Industry Averages (Global)'!$A$2:$O$95,7))</f>
        <v/>
      </c>
      <c r="L52" s="178">
        <f>IF(I52=0,0,VLOOKUP(G52,'Industry Averages (Global)'!$A$2:$M$95,13))</f>
        <v/>
      </c>
    </row>
    <row r="53" ht="14" customHeight="1">
      <c r="A53" s="12" t="inlineStr">
        <is>
          <t>Estimating Market Value of Straight Debt =</t>
        </is>
      </c>
      <c r="B53" s="12" t="n"/>
      <c r="C53" s="819">
        <f>B31*(1-(1+B37)^(-B32))/B37+B30/(1+B37)^B32</f>
        <v/>
      </c>
      <c r="D53" s="6" t="n"/>
      <c r="E53" s="6" t="n"/>
      <c r="F53" s="6" t="n"/>
      <c r="G53" s="81" t="n"/>
      <c r="H53" s="812" t="n"/>
      <c r="I53" s="813">
        <f>IF(G53=0,,VLOOKUP(G53,'Industry Averages (Global)'!$A$2:$O$95,15))</f>
        <v/>
      </c>
      <c r="J53" s="814">
        <f>H53*I53</f>
        <v/>
      </c>
      <c r="K53" s="813">
        <f>IF(G53=0,,VLOOKUP(G53,'Industry Averages (Global)'!$A$2:$O$95,7))</f>
        <v/>
      </c>
      <c r="L53" s="178">
        <f>IF(I53=0,0,VLOOKUP(G53,'Industry Averages (Global)'!$A$2:$M$95,13))</f>
        <v/>
      </c>
    </row>
    <row r="54" ht="14" customHeight="1">
      <c r="A54" s="12" t="inlineStr">
        <is>
          <t>Estimated Value of Straight Debt in Convertible =</t>
        </is>
      </c>
      <c r="B54" s="12" t="n"/>
      <c r="C54" s="819">
        <f>B41*(1-(1+B37)^(-B42))/B37+B40/(1+B37)^B42</f>
        <v/>
      </c>
      <c r="D54" s="6" t="n"/>
      <c r="E54" s="6" t="n"/>
      <c r="F54" s="6" t="n"/>
      <c r="G54" s="81" t="n"/>
      <c r="H54" s="812" t="n"/>
      <c r="I54" s="813">
        <f>IF(G54=0,,VLOOKUP(G54,'Industry Averages (Global)'!$A$2:$O$95,15))</f>
        <v/>
      </c>
      <c r="J54" s="814">
        <f>H54*I54</f>
        <v/>
      </c>
      <c r="K54" s="813">
        <f>IF(G54=0,,VLOOKUP(G54,'Industry Averages (Global)'!$A$2:$O$95,7))</f>
        <v/>
      </c>
      <c r="L54" s="178">
        <f>IF(I54=0,0,VLOOKUP(G54,'Industry Averages (Global)'!$A$2:$M$95,13))</f>
        <v/>
      </c>
    </row>
    <row r="55" ht="14" customHeight="1">
      <c r="A55" s="12" t="inlineStr">
        <is>
          <t>Value of Debt in Operating leases =</t>
        </is>
      </c>
      <c r="B55" s="12" t="n"/>
      <c r="C55" s="819">
        <f>B45</f>
        <v/>
      </c>
      <c r="D55" s="6" t="n"/>
      <c r="E55" s="6" t="n"/>
      <c r="F55" s="6" t="n"/>
      <c r="G55" s="81" t="n"/>
      <c r="H55" s="812" t="n"/>
      <c r="I55" s="813">
        <f>IF(G55=0,,VLOOKUP(G55,'Industry Averages (Global)'!$A$2:$O$95,15))</f>
        <v/>
      </c>
      <c r="J55" s="814">
        <f>H55*I55</f>
        <v/>
      </c>
      <c r="K55" s="813">
        <f>IF(G55=0,,VLOOKUP(G55,'Industry Averages (Global)'!$A$2:$O$95,7))</f>
        <v/>
      </c>
      <c r="L55" s="178">
        <f>IF(I55=0,0,VLOOKUP(G55,'Industry Averages (Global)'!$A$2:$M$95,13))</f>
        <v/>
      </c>
    </row>
    <row r="56" ht="14" customHeight="1">
      <c r="A56" s="12" t="inlineStr">
        <is>
          <t>Estimated Value of Equity in Convertible =</t>
        </is>
      </c>
      <c r="B56" s="12" t="n"/>
      <c r="C56" s="819">
        <f>B43-C54</f>
        <v/>
      </c>
      <c r="D56" s="6" t="n"/>
      <c r="E56" s="6" t="n"/>
      <c r="F56" s="6" t="n"/>
      <c r="G56" s="81" t="n"/>
      <c r="H56" s="812" t="n"/>
      <c r="I56" s="813">
        <f>IF(G56=0,,VLOOKUP(G56,'Industry Averages (Global)'!$A$2:$O$95,15))</f>
        <v/>
      </c>
      <c r="J56" s="814">
        <f>H56*I56</f>
        <v/>
      </c>
      <c r="K56" s="813">
        <f>IF(G56=0,,VLOOKUP(G56,'Industry Averages (Global)'!$A$2:$O$95,7))</f>
        <v/>
      </c>
      <c r="L56" s="178">
        <f>IF(I56=0,0,VLOOKUP(G56,'Industry Averages (Global)'!$A$2:$M$95,13))</f>
        <v/>
      </c>
    </row>
    <row r="57" ht="14" customHeight="1">
      <c r="A57" s="12" t="inlineStr">
        <is>
          <t>Levered Beta for equity =</t>
        </is>
      </c>
      <c r="B57" s="12" t="n"/>
      <c r="C57" s="71">
        <f>IF(B21="Direct Input",B22,B23*(1+(1-B38)*(C60/B60)))</f>
        <v/>
      </c>
      <c r="D57" s="6" t="n"/>
      <c r="E57" s="6" t="n"/>
      <c r="F57" s="6" t="n"/>
      <c r="G57" s="81" t="n"/>
      <c r="H57" s="812" t="n"/>
      <c r="I57" s="813">
        <f>IF(G57=0,,VLOOKUP(G57,'Industry Averages (Global)'!$A$2:$O$95,15))</f>
        <v/>
      </c>
      <c r="J57" s="814">
        <f>H57*I57</f>
        <v/>
      </c>
      <c r="K57" s="813">
        <f>IF(G57=0,,VLOOKUP(G57,'Industry Averages (Global)'!$A$2:$O$95,7))</f>
        <v/>
      </c>
      <c r="L57" s="178">
        <f>IF(I57=0,0,VLOOKUP(G57,'Industry Averages (Global)'!$A$2:$M$95,13))</f>
        <v/>
      </c>
    </row>
    <row r="58" ht="14" customHeight="1">
      <c r="A58" s="6" t="n"/>
      <c r="B58" s="6" t="n"/>
      <c r="C58" s="71" t="n"/>
      <c r="D58" s="6" t="n"/>
      <c r="E58" s="6" t="n"/>
      <c r="F58" s="6" t="n"/>
      <c r="G58" s="81" t="n"/>
      <c r="H58" s="812" t="n"/>
      <c r="I58" s="813">
        <f>IF(G58=0,,VLOOKUP(G58,'Industry Averages (Global)'!$A$2:$O$95,15))</f>
        <v/>
      </c>
      <c r="J58" s="814">
        <f>H58*I58</f>
        <v/>
      </c>
      <c r="K58" s="813">
        <f>IF(G58=0,,VLOOKUP(G58,'Industry Averages (Global)'!$A$2:$O$95,7))</f>
        <v/>
      </c>
      <c r="L58" s="178">
        <f>IF(I58=0,0,VLOOKUP(G58,'Industry Averages (Global)'!$A$2:$M$95,13))</f>
        <v/>
      </c>
    </row>
    <row r="59" ht="14" customHeight="1">
      <c r="A59" s="61" t="n"/>
      <c r="B59" s="62" t="inlineStr">
        <is>
          <t>Equity</t>
        </is>
      </c>
      <c r="C59" s="62" t="inlineStr">
        <is>
          <t xml:space="preserve">Debt </t>
        </is>
      </c>
      <c r="D59" s="62" t="inlineStr">
        <is>
          <t>Preferred Stock</t>
        </is>
      </c>
      <c r="E59" s="62" t="inlineStr">
        <is>
          <t>Capital</t>
        </is>
      </c>
      <c r="F59" s="61" t="n"/>
      <c r="G59" s="81" t="n"/>
      <c r="H59" s="812" t="n"/>
      <c r="I59" s="813">
        <f>IF(G59=0,,VLOOKUP(G59,'Industry Averages (Global)'!$A$2:$O$95,15))</f>
        <v/>
      </c>
      <c r="J59" s="814">
        <f>H59*I59</f>
        <v/>
      </c>
      <c r="K59" s="813">
        <f>IF(G59=0,,VLOOKUP(G59,'Industry Averages (Global)'!$A$2:$O$95,7))</f>
        <v/>
      </c>
      <c r="L59" s="178">
        <f>IF(I59=0,0,VLOOKUP(G59,'Industry Averages (Global)'!$A$2:$M$95,13))</f>
        <v/>
      </c>
    </row>
    <row r="60" ht="14" customHeight="1">
      <c r="A60" s="12" t="inlineStr">
        <is>
          <t>Market Value</t>
        </is>
      </c>
      <c r="B60" s="819">
        <f>B18*B19</f>
        <v/>
      </c>
      <c r="C60" s="820">
        <f>C53+C54+C55</f>
        <v/>
      </c>
      <c r="D60" s="819">
        <f>B48*B49</f>
        <v/>
      </c>
      <c r="E60" s="820">
        <f>SUM(B60:D60)</f>
        <v/>
      </c>
      <c r="F60" s="6" t="n"/>
      <c r="G60" s="81" t="n"/>
      <c r="H60" s="812" t="n"/>
      <c r="I60" s="813">
        <f>IF(G60=0,,VLOOKUP(G60,'Industry Averages (Global)'!$A$2:$O$95,15))</f>
        <v/>
      </c>
      <c r="J60" s="814">
        <f>H60*I60</f>
        <v/>
      </c>
      <c r="K60" s="813">
        <f>IF(G60=0,,VLOOKUP(G60,'Industry Averages (Global)'!$A$2:$O$95,7))</f>
        <v/>
      </c>
      <c r="L60" s="178">
        <f>IF(I60=0,0,VLOOKUP(G60,'Industry Averages (Global)'!$A$2:$M$95,13))</f>
        <v/>
      </c>
      <c r="M60" s="640" t="inlineStr">
        <is>
          <t>The cost of capital  is in US dollars, using the riskfree rate at the start of the year. It will be adjusted for the difference in riskfree rates to make it more current and to change currencies.</t>
        </is>
      </c>
      <c r="N60" s="723" t="n"/>
      <c r="O60" s="724" t="n"/>
    </row>
    <row r="61" ht="15" customHeight="1" thickBot="1">
      <c r="A61" s="12" t="inlineStr">
        <is>
          <t>Weight in Cost of Capital</t>
        </is>
      </c>
      <c r="B61" s="66">
        <f>B60/$E$60</f>
        <v/>
      </c>
      <c r="C61" s="66">
        <f>C60/$E$60</f>
        <v/>
      </c>
      <c r="D61" s="66">
        <f>D60/$E$60</f>
        <v/>
      </c>
      <c r="E61" s="67">
        <f>SUM(B61:D61)</f>
        <v/>
      </c>
      <c r="F61" s="6" t="n"/>
      <c r="G61" s="81" t="n"/>
      <c r="H61" s="812" t="n"/>
      <c r="I61" s="813">
        <f>IF(G61=0,,VLOOKUP(G61,'Industry Averages (Global)'!$A$2:$O$95,15))</f>
        <v/>
      </c>
      <c r="J61" s="814">
        <f>H61*I61</f>
        <v/>
      </c>
      <c r="K61" s="813">
        <f>IF(G61=0,,VLOOKUP(G61,'Industry Averages (Global)'!$A$2:$O$95,7))</f>
        <v/>
      </c>
      <c r="L61" s="178">
        <f>IF(I61=0,0,VLOOKUP(G61,'Industry Averages (Global)'!$A$2:$M$95,13))</f>
        <v/>
      </c>
      <c r="M61" s="726" t="n"/>
      <c r="O61" s="727" t="n"/>
    </row>
    <row r="62" ht="15" customHeight="1" thickBot="1">
      <c r="A62" s="12" t="inlineStr">
        <is>
          <t>Cost of Component</t>
        </is>
      </c>
      <c r="B62" s="68">
        <f>B24+C57*B27</f>
        <v/>
      </c>
      <c r="C62" s="66">
        <f>B37*(1-B38)</f>
        <v/>
      </c>
      <c r="D62" s="69">
        <f>B50/B49</f>
        <v/>
      </c>
      <c r="E62" s="70">
        <f>B61*B62+C61*C62+D61*D62</f>
        <v/>
      </c>
      <c r="F62" s="6" t="n"/>
      <c r="G62" s="81" t="n"/>
      <c r="H62" s="812" t="n"/>
      <c r="I62" s="813">
        <f>IF(G62=0,,VLOOKUP(G62,'Industry Averages (Global)'!$A$2:$O$95,15))</f>
        <v/>
      </c>
      <c r="J62" s="814">
        <f>H62*I62</f>
        <v/>
      </c>
      <c r="K62" s="813">
        <f>IF(G62=0,,VLOOKUP(G62,'Industry Averages (Global)'!$A$2:$O$95,7))</f>
        <v/>
      </c>
      <c r="L62" s="178">
        <f>IF(I62=0,0,VLOOKUP(G62,'Industry Averages (Global)'!$A$2:$M$95,13))</f>
        <v/>
      </c>
      <c r="M62" s="726" t="n"/>
      <c r="O62" s="727" t="n"/>
    </row>
    <row r="63" ht="14" customHeight="1">
      <c r="G63" s="81" t="n"/>
      <c r="H63" s="812" t="n"/>
      <c r="I63" s="813">
        <f>IF(G63=0,,VLOOKUP(G63,'Industry Averages (Global)'!$A$2:$O$95,15))</f>
        <v/>
      </c>
      <c r="J63" s="814">
        <f>H63*I63</f>
        <v/>
      </c>
      <c r="K63" s="813">
        <f>IF(G63=0,,VLOOKUP(G63,'Industry Averages (Global)'!$A$2:$O$95,7))</f>
        <v/>
      </c>
      <c r="L63" s="178">
        <f>IF(I63=0,0,VLOOKUP(G63,'Industry Averages (Global)'!$A$2:$M$95,13))</f>
        <v/>
      </c>
      <c r="M63" s="726" t="n"/>
      <c r="O63" s="727" t="n"/>
    </row>
    <row r="64" ht="15" customHeight="1" thickBot="1">
      <c r="G64" s="89" t="inlineStr">
        <is>
          <t>Company</t>
        </is>
      </c>
      <c r="H64" s="816">
        <f>SUM(H52:H63)</f>
        <v/>
      </c>
      <c r="I64" s="817" t="n"/>
      <c r="J64" s="814">
        <f>SUM(J52:J63)</f>
        <v/>
      </c>
      <c r="K64" s="817">
        <f>K52*(J52/J64)+K53*J53/J64+K54*J54/J64+K55*J55/J64+K56*J56/J64+K57*J57/J64+K58*J58/J64+K59*J59/J64+K60*J60/J64+K61*J61/J64+K62*J62/J64+K63*J63/J64</f>
        <v/>
      </c>
      <c r="L64" s="179">
        <f>L52*(J52/J64)+L53*J53/J64+L54*J54/J64+L55*J55/J64+L56*J56/J64+L57*J57/J64+L58*J58/J64+L59*J59/J64+L60*J60/J64+L61*J61/J64+L62*J62/J64+L63*J63/J64</f>
        <v/>
      </c>
      <c r="M64" s="728" t="n"/>
      <c r="N64" s="729" t="n"/>
      <c r="O64" s="730" t="n"/>
    </row>
    <row r="65" ht="17" customHeight="1" thickBot="1">
      <c r="A65" s="821" t="inlineStr">
        <is>
          <t>Approach 2: industry average cost of capital, adjusted for riskfre rate differences</t>
        </is>
      </c>
      <c r="B65" s="746" t="n"/>
      <c r="C65" s="746" t="n"/>
      <c r="D65" s="746" t="n"/>
      <c r="E65" s="746" t="n"/>
      <c r="F65" s="773" t="n"/>
    </row>
    <row r="66" ht="15" customHeight="1" thickBot="1">
      <c r="A66" s="6" t="inlineStr">
        <is>
          <t xml:space="preserve">Industry </t>
        </is>
      </c>
      <c r="B66" s="180" t="inlineStr">
        <is>
          <t>Multibusiness(US)</t>
        </is>
      </c>
    </row>
    <row r="67" ht="14" customHeight="1" thickBot="1">
      <c r="A67" t="inlineStr">
        <is>
          <t>Cost of capital, adjusted for riskfree rate difference</t>
        </is>
      </c>
      <c r="B67" s="181">
        <f>IF(B66="Single Business(US)",(VLOOKUP('Input sheet'!B8,'Industry Averages(US)'!A2:M95,13)+('Input sheet'!B34-4.58%)),IF(B66="Multibusiness(US)",L48+('Input sheet'!B34-4.58%),IF(B66="Single Business(Global)",(VLOOKUP('Input sheet'!B8,'Industry Averages (Global)'!A2:M95,13)+('Input sheet'!B34-4.58%)),L64+('Input sheet'!B34-4.58%))))</f>
        <v/>
      </c>
    </row>
    <row r="68" ht="14" customHeight="1" thickBot="1"/>
    <row r="69" ht="17" customHeight="1" thickBot="1">
      <c r="A69" s="821" t="inlineStr">
        <is>
          <t>Approach 3: Uae histogram of costs of capital of all publicly traded firms</t>
        </is>
      </c>
      <c r="B69" s="746" t="n"/>
      <c r="C69" s="746" t="n"/>
      <c r="D69" s="746" t="n"/>
      <c r="E69" s="746" t="n"/>
      <c r="F69" s="773" t="n"/>
    </row>
    <row r="70">
      <c r="A70" t="inlineStr">
        <is>
          <t>Which grouping (US, Emerging Markets, Global)</t>
        </is>
      </c>
      <c r="B70" s="186" t="inlineStr">
        <is>
          <t>US</t>
        </is>
      </c>
    </row>
    <row r="71">
      <c r="A71" t="inlineStr">
        <is>
          <t>Which risk grouping does your company fall in?</t>
        </is>
      </c>
      <c r="B71" s="186" t="inlineStr">
        <is>
          <t>Median</t>
        </is>
      </c>
    </row>
    <row r="72">
      <c r="A72" t="inlineStr">
        <is>
          <t>Cost of capital based upon decile/group chosen</t>
        </is>
      </c>
      <c r="B72" s="179">
        <f>VLOOKUP(B70,A75:F79,IF(B71="First Decile",2,IF(B71="First Quartile",3,IF(B71="Median",4,IF(B71="Third Quartile",5,6)))))</f>
        <v/>
      </c>
    </row>
    <row r="74" ht="14" customHeight="1">
      <c r="A74" s="496" t="inlineStr">
        <is>
          <t>Region</t>
        </is>
      </c>
      <c r="B74" s="497" t="inlineStr">
        <is>
          <t>First Decile</t>
        </is>
      </c>
      <c r="C74" s="498" t="inlineStr">
        <is>
          <t>First Quartile</t>
        </is>
      </c>
      <c r="D74" s="498" t="inlineStr">
        <is>
          <t>Median</t>
        </is>
      </c>
      <c r="E74" s="498" t="inlineStr">
        <is>
          <t>Third Quartile</t>
        </is>
      </c>
      <c r="F74" s="498" t="inlineStr">
        <is>
          <t>Ninth Decile</t>
        </is>
      </c>
    </row>
    <row r="75">
      <c r="A75" s="496" t="inlineStr">
        <is>
          <t>Emerging</t>
        </is>
      </c>
      <c r="B75" s="499" t="n">
        <v>0.066532332574995</v>
      </c>
      <c r="C75" s="499" t="n">
        <v>0.0762870404314534</v>
      </c>
      <c r="D75" s="499" t="n">
        <v>0.0895434103041611</v>
      </c>
      <c r="E75" s="499" t="n">
        <v>0.106923420460042</v>
      </c>
      <c r="F75" s="499" t="n">
        <v>0.125494141848594</v>
      </c>
      <c r="H75" s="234" t="n"/>
      <c r="I75" s="234" t="n"/>
      <c r="J75" s="234" t="n"/>
      <c r="K75" s="234" t="n"/>
      <c r="L75" s="234" t="n"/>
      <c r="N75" s="822" t="n"/>
      <c r="O75" s="822" t="n"/>
      <c r="P75" s="822" t="n"/>
      <c r="Q75" s="822" t="n"/>
      <c r="R75" s="822" t="n"/>
    </row>
    <row r="76">
      <c r="A76" s="496" t="inlineStr">
        <is>
          <t>Europe</t>
        </is>
      </c>
      <c r="B76" s="499" t="n">
        <v>0.0599193845504732</v>
      </c>
      <c r="C76" s="499" t="n">
        <v>0.06828577365307439</v>
      </c>
      <c r="D76" s="499" t="n">
        <v>0.0822253938341346</v>
      </c>
      <c r="E76" s="499" t="n">
        <v>0.0957138768644331</v>
      </c>
      <c r="F76" s="499" t="n">
        <v>0.110241149096839</v>
      </c>
      <c r="H76" s="234" t="n"/>
      <c r="I76" s="234" t="n"/>
      <c r="J76" s="234" t="n"/>
      <c r="K76" s="234" t="n"/>
      <c r="L76" s="234" t="n"/>
      <c r="N76" s="822" t="n"/>
      <c r="O76" s="822" t="n"/>
      <c r="P76" s="822" t="n"/>
      <c r="Q76" s="822" t="n"/>
      <c r="R76" s="822" t="n"/>
    </row>
    <row r="77">
      <c r="A77" s="496" t="inlineStr">
        <is>
          <t>Global</t>
        </is>
      </c>
      <c r="B77" s="499" t="n">
        <v>0.0628222615048004</v>
      </c>
      <c r="C77" s="499" t="n">
        <v>0.0724488255585608</v>
      </c>
      <c r="D77" s="499" t="n">
        <v>0.0865088987498397</v>
      </c>
      <c r="E77" s="499" t="n">
        <v>0.100287313945416</v>
      </c>
      <c r="F77" s="499" t="n">
        <v>0.116631464681193</v>
      </c>
      <c r="H77" s="234" t="n"/>
      <c r="I77" s="234" t="n"/>
      <c r="J77" s="234" t="n"/>
      <c r="K77" s="234" t="n"/>
      <c r="L77" s="234" t="n"/>
      <c r="N77" s="822" t="n"/>
      <c r="O77" s="822" t="n"/>
      <c r="P77" s="822" t="n"/>
      <c r="Q77" s="822" t="n"/>
      <c r="R77" s="822" t="n"/>
    </row>
    <row r="78">
      <c r="A78" s="496" t="inlineStr">
        <is>
          <t>Japan</t>
        </is>
      </c>
      <c r="B78" s="499" t="n">
        <v>0.0629567936153311</v>
      </c>
      <c r="C78" s="499" t="n">
        <v>0.0707380685850607</v>
      </c>
      <c r="D78" s="499" t="n">
        <v>0.08237934804867381</v>
      </c>
      <c r="E78" s="499" t="n">
        <v>0.09434698410612791</v>
      </c>
      <c r="F78" s="499" t="n">
        <v>0.107319700894456</v>
      </c>
      <c r="H78" s="234" t="n"/>
      <c r="I78" s="234" t="n"/>
      <c r="J78" s="234" t="n"/>
      <c r="K78" s="234" t="n"/>
      <c r="L78" s="234" t="n"/>
      <c r="N78" s="822" t="n"/>
      <c r="O78" s="822" t="n"/>
      <c r="P78" s="822" t="n"/>
      <c r="Q78" s="822" t="n"/>
      <c r="R78" s="822" t="n"/>
    </row>
    <row r="79">
      <c r="A79" s="496" t="inlineStr">
        <is>
          <t>US</t>
        </is>
      </c>
      <c r="B79" s="499" t="n">
        <v>0.0526007882763119</v>
      </c>
      <c r="C79" s="499" t="n">
        <v>0.0641103409054745</v>
      </c>
      <c r="D79" s="499" t="n">
        <v>0.077903913191275</v>
      </c>
      <c r="E79" s="499" t="n">
        <v>0.0916225864273368</v>
      </c>
      <c r="F79" s="499" t="n">
        <v>0.098770423360608</v>
      </c>
      <c r="H79" s="234" t="n"/>
      <c r="I79" s="234" t="n"/>
      <c r="J79" s="234" t="n"/>
      <c r="K79" s="234" t="n"/>
      <c r="L79" s="234" t="n"/>
      <c r="N79" s="822" t="n"/>
      <c r="O79" s="822" t="n"/>
      <c r="P79" s="822" t="n"/>
      <c r="Q79" s="822" t="n"/>
      <c r="R79" s="822" t="n"/>
    </row>
    <row r="80">
      <c r="A80" s="630"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row>
    <row r="81"/>
    <row r="84">
      <c r="B84" s="385" t="n"/>
      <c r="C84" s="386" t="n"/>
      <c r="D84" s="386" t="n"/>
      <c r="E84" s="386" t="n"/>
      <c r="F84" s="386" t="n"/>
    </row>
    <row r="85">
      <c r="B85" s="495" t="n"/>
      <c r="C85" s="495" t="n"/>
      <c r="D85" s="495" t="n"/>
      <c r="E85" s="495" t="n"/>
      <c r="F85" s="378" t="n"/>
    </row>
    <row r="86">
      <c r="B86" s="495" t="n"/>
      <c r="C86" s="495" t="n"/>
      <c r="D86" s="495" t="n"/>
      <c r="E86" s="495" t="n"/>
      <c r="F86" s="378" t="n"/>
    </row>
    <row r="87">
      <c r="B87" s="495" t="n"/>
      <c r="C87" s="495" t="n"/>
      <c r="D87" s="495" t="n"/>
      <c r="E87" s="495" t="n"/>
      <c r="F87" s="378" t="n"/>
    </row>
    <row r="88">
      <c r="B88" s="495" t="n"/>
      <c r="C88" s="495" t="n"/>
      <c r="D88" s="495" t="n"/>
      <c r="E88" s="495" t="n"/>
      <c r="F88" s="378" t="n"/>
    </row>
    <row r="89">
      <c r="B89" s="495" t="n"/>
      <c r="C89" s="495" t="n"/>
      <c r="D89" s="495" t="n"/>
      <c r="E89" s="495" t="n"/>
      <c r="F89" s="378" t="n"/>
    </row>
    <row r="91">
      <c r="B91" s="495" t="n"/>
      <c r="C91" s="495" t="n"/>
      <c r="D91" s="495" t="n"/>
      <c r="E91" s="495" t="n"/>
      <c r="F91" s="495" t="n"/>
    </row>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10" defaultRowHeight="13"/>
  <sheetData>
    <row r="1" ht="23" customFormat="1" customHeight="1" s="229">
      <c r="A1" s="229" t="inlineStr">
        <is>
          <t>Estimating the likelihood of failure</t>
        </is>
      </c>
    </row>
    <row r="2" ht="18" customFormat="1" customHeight="1" s="227">
      <c r="A2" s="227" t="inlineStr">
        <is>
          <t>Approach 1: Using a corporate bond rating</t>
        </is>
      </c>
    </row>
    <row r="3" ht="14" customHeight="1" thickBot="1"/>
    <row r="4" ht="15" customHeight="1" thickBot="1">
      <c r="A4" s="823" t="inlineStr">
        <is>
          <t>Default Probabilities over time (1 - 10 year time horizons)</t>
        </is>
      </c>
      <c r="B4" s="746" t="n"/>
      <c r="C4" s="746" t="n"/>
      <c r="D4" s="746" t="n"/>
      <c r="E4" s="746" t="n"/>
      <c r="F4" s="746" t="n"/>
      <c r="G4" s="746" t="n"/>
      <c r="H4" s="746" t="n"/>
      <c r="I4" s="746" t="n"/>
      <c r="J4" s="746" t="n"/>
      <c r="K4" s="773" t="n"/>
    </row>
    <row r="5" ht="16" customHeight="1">
      <c r="A5" s="155" t="inlineStr">
        <is>
          <t>Rating</t>
        </is>
      </c>
      <c r="B5" s="156" t="n">
        <v>1</v>
      </c>
      <c r="C5" s="156" t="n">
        <v>2</v>
      </c>
      <c r="D5" s="156" t="n">
        <v>3</v>
      </c>
      <c r="E5" s="156" t="n">
        <v>4</v>
      </c>
      <c r="F5" s="156" t="n">
        <v>5</v>
      </c>
      <c r="G5" s="156" t="n">
        <v>6</v>
      </c>
      <c r="H5" s="156" t="n">
        <v>7</v>
      </c>
      <c r="I5" s="156" t="n">
        <v>8</v>
      </c>
      <c r="J5" s="156" t="n">
        <v>9</v>
      </c>
      <c r="K5" s="156" t="n">
        <v>10</v>
      </c>
    </row>
    <row r="6" ht="16" customHeight="1">
      <c r="A6" s="157" t="inlineStr">
        <is>
          <t>AAA</t>
        </is>
      </c>
      <c r="B6" s="158" t="n">
        <v>0</v>
      </c>
      <c r="C6" s="158" t="n">
        <v>0.0003</v>
      </c>
      <c r="D6" s="158" t="n">
        <v>0.0013</v>
      </c>
      <c r="E6" s="158" t="n">
        <v>0.0024</v>
      </c>
      <c r="F6" s="158" t="n">
        <v>0.0035</v>
      </c>
      <c r="G6" s="158" t="n">
        <v>0.004500000000000001</v>
      </c>
      <c r="H6" s="158" t="n">
        <v>0.0051</v>
      </c>
      <c r="I6" s="158" t="n">
        <v>0.0059</v>
      </c>
      <c r="J6" s="158" t="n">
        <v>0.0064</v>
      </c>
      <c r="K6" s="158" t="n">
        <v>0.006999999999999999</v>
      </c>
    </row>
    <row r="7" ht="16" customHeight="1">
      <c r="A7" s="157" t="inlineStr">
        <is>
          <t>AA</t>
        </is>
      </c>
      <c r="B7" s="158" t="n">
        <v>0.0002</v>
      </c>
      <c r="C7" s="158" t="n">
        <v>0.0005999999999999999</v>
      </c>
      <c r="D7" s="158" t="n">
        <v>0.0012</v>
      </c>
      <c r="E7" s="158" t="n">
        <v>0.0021</v>
      </c>
      <c r="F7" s="158" t="n">
        <v>0.0031</v>
      </c>
      <c r="G7" s="158" t="n">
        <v>0.0042</v>
      </c>
      <c r="H7" s="158" t="n">
        <v>0.005</v>
      </c>
      <c r="I7" s="158" t="n">
        <v>0.0058</v>
      </c>
      <c r="J7" s="158" t="n">
        <v>0.006500000000000001</v>
      </c>
      <c r="K7" s="158" t="n">
        <v>0.0072</v>
      </c>
    </row>
    <row r="8" ht="16" customHeight="1">
      <c r="A8" s="157" t="inlineStr">
        <is>
          <t>A</t>
        </is>
      </c>
      <c r="B8" s="158" t="n">
        <v>0.0005</v>
      </c>
      <c r="C8" s="158" t="n">
        <v>0.0014</v>
      </c>
      <c r="D8" s="158" t="n">
        <v>0.0023</v>
      </c>
      <c r="E8" s="158" t="n">
        <v>0.0035</v>
      </c>
      <c r="F8" s="158" t="n">
        <v>0.004699999999999999</v>
      </c>
      <c r="G8" s="158" t="n">
        <v>0.0062</v>
      </c>
      <c r="H8" s="158" t="n">
        <v>0.007900000000000001</v>
      </c>
      <c r="I8" s="158" t="n">
        <v>0.009300000000000001</v>
      </c>
      <c r="J8" s="158" t="n">
        <v>0.0108</v>
      </c>
      <c r="K8" s="158" t="n">
        <v>0.0124</v>
      </c>
    </row>
    <row r="9" ht="16" customHeight="1">
      <c r="A9" s="157" t="inlineStr">
        <is>
          <t>BBB</t>
        </is>
      </c>
      <c r="B9" s="158" t="n">
        <v>0.0016</v>
      </c>
      <c r="C9" s="158" t="n">
        <v>0.004500000000000001</v>
      </c>
      <c r="D9" s="158" t="n">
        <v>0.007800000000000001</v>
      </c>
      <c r="E9" s="158" t="n">
        <v>0.0117</v>
      </c>
      <c r="F9" s="158" t="n">
        <v>0.0158</v>
      </c>
      <c r="G9" s="158" t="n">
        <v>0.0198</v>
      </c>
      <c r="H9" s="158" t="n">
        <v>0.0233</v>
      </c>
      <c r="I9" s="158" t="n">
        <v>0.0267</v>
      </c>
      <c r="J9" s="158" t="n">
        <v>0.03</v>
      </c>
      <c r="K9" s="158" t="n">
        <v>0.0332</v>
      </c>
    </row>
    <row r="10" ht="16" customHeight="1">
      <c r="A10" s="157" t="inlineStr">
        <is>
          <t>BB</t>
        </is>
      </c>
      <c r="B10" s="158" t="n">
        <v>0.0061</v>
      </c>
      <c r="C10" s="158" t="n">
        <v>0.0192</v>
      </c>
      <c r="D10" s="158" t="n">
        <v>0.0348</v>
      </c>
      <c r="E10" s="158" t="n">
        <v>0.0505</v>
      </c>
      <c r="F10" s="158" t="n">
        <v>0.06519999999999999</v>
      </c>
      <c r="G10" s="158" t="n">
        <v>0.0785</v>
      </c>
      <c r="H10" s="158" t="n">
        <v>0.0901</v>
      </c>
      <c r="I10" s="158" t="n">
        <v>0.1004</v>
      </c>
      <c r="J10" s="158" t="n">
        <v>0.1097</v>
      </c>
      <c r="K10" s="158" t="n">
        <v>0.1178</v>
      </c>
    </row>
    <row r="11" ht="16" customHeight="1">
      <c r="A11" s="157" t="inlineStr">
        <is>
          <t>B</t>
        </is>
      </c>
      <c r="B11" s="158" t="n">
        <v>0.0333</v>
      </c>
      <c r="C11" s="158" t="n">
        <v>0.0771</v>
      </c>
      <c r="D11" s="158" t="n">
        <v>0.1155</v>
      </c>
      <c r="E11" s="158" t="n">
        <v>0.1458</v>
      </c>
      <c r="F11" s="158" t="n">
        <v>0.1693</v>
      </c>
      <c r="G11" s="158" t="n">
        <v>0.1883</v>
      </c>
      <c r="H11" s="158" t="n">
        <v>0.2036</v>
      </c>
      <c r="I11" s="158" t="n">
        <v>0.216</v>
      </c>
      <c r="J11" s="158" t="n">
        <v>0.227</v>
      </c>
      <c r="K11" s="158" t="n">
        <v>0.2374</v>
      </c>
    </row>
    <row r="12" ht="16" customHeight="1">
      <c r="A12" s="157" t="inlineStr">
        <is>
          <t>CCC/C</t>
        </is>
      </c>
      <c r="B12" s="158" t="n">
        <v>0.2708</v>
      </c>
      <c r="C12" s="158" t="n">
        <v>0.3664</v>
      </c>
      <c r="D12" s="158" t="n">
        <v>0.4141</v>
      </c>
      <c r="E12" s="158" t="n">
        <v>0.441</v>
      </c>
      <c r="F12" s="158" t="n">
        <v>0.4619</v>
      </c>
      <c r="G12" s="158" t="n">
        <v>0.4709</v>
      </c>
      <c r="H12" s="158" t="n">
        <v>0.4826</v>
      </c>
      <c r="I12" s="158" t="n">
        <v>0.4905</v>
      </c>
      <c r="J12" s="158" t="n">
        <v>0.4976</v>
      </c>
      <c r="K12" s="158" t="n">
        <v>0.5038</v>
      </c>
    </row>
    <row r="14" ht="16" customHeight="1">
      <c r="A14" s="228" t="inlineStr">
        <is>
          <t>Thus, if you use the 10-year likelihood of failure, the chance of failure for a BB rated firm is 11.78%.</t>
        </is>
      </c>
    </row>
    <row r="16" ht="18" customFormat="1" customHeight="1" s="227">
      <c r="A16" s="227" t="inlineStr">
        <is>
          <t>Approach 2: Using corporate age (for young companies)</t>
        </is>
      </c>
    </row>
    <row r="17">
      <c r="O17" s="657" t="inlineStr">
        <is>
          <t>Survial Rate Data from Bureau of Labor Statistics (2022)</t>
        </is>
      </c>
    </row>
    <row r="18" ht="16" customHeight="1">
      <c r="A18" s="230" t="n"/>
      <c r="B18" s="231" t="n"/>
      <c r="C18" s="232" t="inlineStr">
        <is>
          <t>Agriculture</t>
        </is>
      </c>
      <c r="D18" s="232" t="inlineStr">
        <is>
          <t>Mining</t>
        </is>
      </c>
      <c r="E18" s="232" t="inlineStr">
        <is>
          <t>Utilities</t>
        </is>
      </c>
      <c r="F18" s="232" t="inlineStr">
        <is>
          <t>Construction</t>
        </is>
      </c>
      <c r="G18" s="232" t="inlineStr">
        <is>
          <t>Manufacturing</t>
        </is>
      </c>
      <c r="H18" s="232" t="inlineStr">
        <is>
          <t>Retail</t>
        </is>
      </c>
      <c r="I18" s="232" t="inlineStr">
        <is>
          <t>Transportation</t>
        </is>
      </c>
      <c r="J18" s="232" t="inlineStr">
        <is>
          <t>Information</t>
        </is>
      </c>
      <c r="K18" s="232" t="inlineStr">
        <is>
          <t>Health Care</t>
        </is>
      </c>
      <c r="L18" s="232" t="inlineStr">
        <is>
          <t>All Sectors</t>
        </is>
      </c>
      <c r="O18" s="232" t="inlineStr">
        <is>
          <t>Agriculture</t>
        </is>
      </c>
      <c r="P18" s="232" t="inlineStr">
        <is>
          <t>Mining</t>
        </is>
      </c>
      <c r="Q18" s="232" t="inlineStr">
        <is>
          <t>Utilities</t>
        </is>
      </c>
      <c r="R18" s="232" t="inlineStr">
        <is>
          <t>Construction</t>
        </is>
      </c>
      <c r="S18" s="232" t="inlineStr">
        <is>
          <t>Manufacturing</t>
        </is>
      </c>
      <c r="T18" s="232" t="inlineStr">
        <is>
          <t>Retail</t>
        </is>
      </c>
      <c r="U18" s="232" t="inlineStr">
        <is>
          <t>Transportation</t>
        </is>
      </c>
      <c r="V18" s="232" t="inlineStr">
        <is>
          <t>Information</t>
        </is>
      </c>
      <c r="W18" s="232" t="inlineStr">
        <is>
          <t>Health Care</t>
        </is>
      </c>
      <c r="X18" s="232" t="inlineStr">
        <is>
          <t>All Sectors</t>
        </is>
      </c>
    </row>
    <row r="19" ht="16" customHeight="1">
      <c r="A19" s="824" t="inlineStr">
        <is>
          <t>Failure Rate given age</t>
        </is>
      </c>
      <c r="B19" s="235" t="n">
        <v>0</v>
      </c>
      <c r="C19" s="233">
        <f>1-O28</f>
        <v/>
      </c>
      <c r="D19" s="233">
        <f>1-P28</f>
        <v/>
      </c>
      <c r="E19" s="233">
        <f>1-Q28</f>
        <v/>
      </c>
      <c r="F19" s="233">
        <f>1-R28</f>
        <v/>
      </c>
      <c r="G19" s="233">
        <f>1-S28</f>
        <v/>
      </c>
      <c r="H19" s="233">
        <f>1-T28</f>
        <v/>
      </c>
      <c r="I19" s="233">
        <f>1-U28</f>
        <v/>
      </c>
      <c r="J19" s="233">
        <f>1-V28</f>
        <v/>
      </c>
      <c r="K19" s="233">
        <f>1-W28</f>
        <v/>
      </c>
      <c r="L19" s="233">
        <f>1-X28</f>
        <v/>
      </c>
      <c r="N19" t="n">
        <v>1</v>
      </c>
      <c r="O19" s="234" t="n">
        <v>0.823</v>
      </c>
      <c r="P19" s="234" t="n">
        <v>0.8179999999999999</v>
      </c>
      <c r="Q19" s="234" t="n">
        <v>0.84</v>
      </c>
      <c r="R19" s="234" t="n">
        <v>0.743</v>
      </c>
      <c r="S19" s="234" t="n">
        <v>0.828</v>
      </c>
      <c r="T19" s="234" t="n">
        <v>0.831</v>
      </c>
      <c r="U19" s="234" t="n">
        <v>0.769</v>
      </c>
      <c r="V19" s="234" t="n">
        <v>0.752</v>
      </c>
      <c r="W19" s="234" t="n">
        <v>0.8140000000000001</v>
      </c>
      <c r="X19" s="234" t="n">
        <v>0.7829999999999999</v>
      </c>
    </row>
    <row r="20" ht="16" customHeight="1">
      <c r="A20" s="825" t="n"/>
      <c r="B20" s="235" t="n">
        <v>1</v>
      </c>
      <c r="C20" s="233">
        <f>O19-O$28</f>
        <v/>
      </c>
      <c r="D20" s="233">
        <f>P19-P$28</f>
        <v/>
      </c>
      <c r="E20" s="233">
        <f>Q19-Q$28</f>
        <v/>
      </c>
      <c r="F20" s="233">
        <f>R19-R$28</f>
        <v/>
      </c>
      <c r="G20" s="233">
        <f>S19-S$28</f>
        <v/>
      </c>
      <c r="H20" s="233">
        <f>T19-T$28</f>
        <v/>
      </c>
      <c r="I20" s="233">
        <f>U19-U$28</f>
        <v/>
      </c>
      <c r="J20" s="233">
        <f>V19-V$28</f>
        <v/>
      </c>
      <c r="K20" s="233">
        <f>W19-W$28</f>
        <v/>
      </c>
      <c r="L20" s="233">
        <f>X19-X$28</f>
        <v/>
      </c>
      <c r="N20" t="n">
        <v>2</v>
      </c>
      <c r="O20" s="234" t="n">
        <v>0.748</v>
      </c>
      <c r="P20" s="234" t="n">
        <v>0.7120000000000001</v>
      </c>
      <c r="Q20" s="234" t="n">
        <v>0.735</v>
      </c>
      <c r="R20" s="234" t="n">
        <v>0.598</v>
      </c>
      <c r="S20" s="234" t="n">
        <v>0.7240000000000001</v>
      </c>
      <c r="T20" s="234" t="n">
        <v>0.7240000000000001</v>
      </c>
      <c r="U20" s="234" t="n">
        <v>0.636</v>
      </c>
      <c r="V20" s="234" t="n">
        <v>0.627</v>
      </c>
      <c r="W20" s="234" t="n">
        <v>0.722</v>
      </c>
      <c r="X20" s="234" t="n">
        <v>0.662</v>
      </c>
    </row>
    <row r="21" ht="16" customHeight="1">
      <c r="A21" s="825" t="n"/>
      <c r="B21" s="235" t="n">
        <v>2</v>
      </c>
      <c r="C21" s="233">
        <f>O20-O$28</f>
        <v/>
      </c>
      <c r="D21" s="233">
        <f>P20-P$28</f>
        <v/>
      </c>
      <c r="E21" s="233">
        <f>Q20-Q$28</f>
        <v/>
      </c>
      <c r="F21" s="233">
        <f>R20-R$28</f>
        <v/>
      </c>
      <c r="G21" s="233">
        <f>S20-S$28</f>
        <v/>
      </c>
      <c r="H21" s="233">
        <f>T20-T$28</f>
        <v/>
      </c>
      <c r="I21" s="233">
        <f>U20-U$28</f>
        <v/>
      </c>
      <c r="J21" s="233">
        <f>V20-V$28</f>
        <v/>
      </c>
      <c r="K21" s="233">
        <f>W20-W$28</f>
        <v/>
      </c>
      <c r="L21" s="233">
        <f>X20-X$28</f>
        <v/>
      </c>
      <c r="N21" t="n">
        <v>3</v>
      </c>
      <c r="O21" s="234" t="n">
        <v>0.6609999999999999</v>
      </c>
      <c r="P21" s="234" t="n">
        <v>0.629</v>
      </c>
      <c r="Q21" s="234" t="n">
        <v>0.67</v>
      </c>
      <c r="R21" s="234" t="n">
        <v>0.456</v>
      </c>
      <c r="S21" s="234" t="n">
        <v>0.622</v>
      </c>
      <c r="T21" s="234" t="n">
        <v>0.631</v>
      </c>
      <c r="U21" s="234" t="n">
        <v>0.523</v>
      </c>
      <c r="V21" s="234" t="n">
        <v>0.5329999999999999</v>
      </c>
      <c r="W21" s="234" t="n">
        <v>0.674</v>
      </c>
      <c r="X21" s="234" t="n">
        <v>0.5660000000000001</v>
      </c>
    </row>
    <row r="22" ht="16" customHeight="1">
      <c r="A22" s="825" t="n"/>
      <c r="B22" s="235" t="n">
        <v>3</v>
      </c>
      <c r="C22" s="233">
        <f>O21-O$28</f>
        <v/>
      </c>
      <c r="D22" s="233">
        <f>P21-P$28</f>
        <v/>
      </c>
      <c r="E22" s="233">
        <f>Q21-Q$28</f>
        <v/>
      </c>
      <c r="F22" s="233">
        <f>R21-R$28</f>
        <v/>
      </c>
      <c r="G22" s="233">
        <f>S21-S$28</f>
        <v/>
      </c>
      <c r="H22" s="233">
        <f>T21-T$28</f>
        <v/>
      </c>
      <c r="I22" s="233">
        <f>U21-U$28</f>
        <v/>
      </c>
      <c r="J22" s="233">
        <f>V21-V$28</f>
        <v/>
      </c>
      <c r="K22" s="233">
        <f>W21-W$28</f>
        <v/>
      </c>
      <c r="L22" s="233">
        <f>X21-X$28</f>
        <v/>
      </c>
      <c r="N22" t="n">
        <v>4</v>
      </c>
      <c r="O22" s="234" t="n">
        <v>0.612</v>
      </c>
      <c r="P22" s="234" t="n">
        <v>0.5379999999999999</v>
      </c>
      <c r="Q22" s="234" t="n">
        <v>0.629</v>
      </c>
      <c r="R22" s="234" t="n">
        <v>0.371</v>
      </c>
      <c r="S22" s="234" t="n">
        <v>0.541</v>
      </c>
      <c r="T22" s="234" t="n">
        <v>0.5649999999999999</v>
      </c>
      <c r="U22" s="234" t="n">
        <v>0.45</v>
      </c>
      <c r="V22" s="234" t="n">
        <v>0.464</v>
      </c>
      <c r="W22" s="234" t="n">
        <v>0.613</v>
      </c>
      <c r="X22" s="234" t="n">
        <v>0.498</v>
      </c>
    </row>
    <row r="23" ht="16" customHeight="1">
      <c r="A23" s="825" t="n"/>
      <c r="B23" s="235" t="n">
        <v>4</v>
      </c>
      <c r="C23" s="233">
        <f>O22-O$28</f>
        <v/>
      </c>
      <c r="D23" s="233">
        <f>P22-P$28</f>
        <v/>
      </c>
      <c r="E23" s="233">
        <f>Q22-Q$28</f>
        <v/>
      </c>
      <c r="F23" s="233">
        <f>R22-R$28</f>
        <v/>
      </c>
      <c r="G23" s="233">
        <f>S22-S$28</f>
        <v/>
      </c>
      <c r="H23" s="233">
        <f>T22-T$28</f>
        <v/>
      </c>
      <c r="I23" s="233">
        <f>U22-U$28</f>
        <v/>
      </c>
      <c r="J23" s="233">
        <f>V22-V$28</f>
        <v/>
      </c>
      <c r="K23" s="233">
        <f>W22-W$28</f>
        <v/>
      </c>
      <c r="L23" s="233">
        <f>X22-X$28</f>
        <v/>
      </c>
      <c r="N23" t="n">
        <v>5</v>
      </c>
      <c r="O23" s="234" t="n">
        <v>0.574</v>
      </c>
      <c r="P23" s="234" t="n">
        <v>0.512</v>
      </c>
      <c r="Q23" s="234" t="n">
        <v>0.5649999999999999</v>
      </c>
      <c r="R23" s="234" t="n">
        <v>0.332</v>
      </c>
      <c r="S23" s="234" t="n">
        <v>0.494</v>
      </c>
      <c r="T23" s="234" t="n">
        <v>0.521</v>
      </c>
      <c r="U23" s="234" t="n">
        <v>0.411</v>
      </c>
      <c r="V23" s="234" t="n">
        <v>0.419</v>
      </c>
      <c r="W23" s="234" t="n">
        <v>0.5589999999999999</v>
      </c>
      <c r="X23" s="234" t="n">
        <v>0.454</v>
      </c>
    </row>
    <row r="24" ht="16" customHeight="1">
      <c r="A24" s="825" t="n"/>
      <c r="B24" s="235" t="n">
        <v>5</v>
      </c>
      <c r="C24" s="233">
        <f>O23-O$28</f>
        <v/>
      </c>
      <c r="D24" s="233">
        <f>P23-P$28</f>
        <v/>
      </c>
      <c r="E24" s="233">
        <f>Q23-Q$28</f>
        <v/>
      </c>
      <c r="F24" s="233">
        <f>R23-R$28</f>
        <v/>
      </c>
      <c r="G24" s="233">
        <f>S23-S$28</f>
        <v/>
      </c>
      <c r="H24" s="233">
        <f>T23-T$28</f>
        <v/>
      </c>
      <c r="I24" s="233">
        <f>U23-U$28</f>
        <v/>
      </c>
      <c r="J24" s="233">
        <f>V23-V$28</f>
        <v/>
      </c>
      <c r="K24" s="233">
        <f>W23-W$28</f>
        <v/>
      </c>
      <c r="L24" s="233">
        <f>X23-X$28</f>
        <v/>
      </c>
      <c r="N24" t="n">
        <v>6</v>
      </c>
      <c r="O24" s="234" t="n">
        <v>0.541</v>
      </c>
      <c r="P24" s="234" t="n">
        <v>0.472</v>
      </c>
      <c r="Q24" s="234" t="n">
        <v>0.556</v>
      </c>
      <c r="R24" s="234" t="n">
        <v>0.306</v>
      </c>
      <c r="S24" s="234" t="n">
        <v>0.463</v>
      </c>
      <c r="T24" s="234" t="n">
        <v>0.485</v>
      </c>
      <c r="U24" s="234" t="n">
        <v>0.377</v>
      </c>
      <c r="V24" s="234" t="n">
        <v>0.3720000000000001</v>
      </c>
      <c r="W24" s="234" t="n">
        <v>0.5479999999999999</v>
      </c>
      <c r="X24" s="234" t="n">
        <v>0.423</v>
      </c>
    </row>
    <row r="25" ht="16" customHeight="1">
      <c r="A25" s="825" t="n"/>
      <c r="B25" s="235" t="n">
        <v>6</v>
      </c>
      <c r="C25" s="233">
        <f>O24-O$28</f>
        <v/>
      </c>
      <c r="D25" s="233">
        <f>P24-P$28</f>
        <v/>
      </c>
      <c r="E25" s="233">
        <f>Q24-Q$28</f>
        <v/>
      </c>
      <c r="F25" s="233">
        <f>R24-R$28</f>
        <v/>
      </c>
      <c r="G25" s="233">
        <f>S24-S$28</f>
        <v/>
      </c>
      <c r="H25" s="233">
        <f>T24-T$28</f>
        <v/>
      </c>
      <c r="I25" s="233">
        <f>U24-U$28</f>
        <v/>
      </c>
      <c r="J25" s="233">
        <f>V24-V$28</f>
        <v/>
      </c>
      <c r="K25" s="233">
        <f>W24-W$28</f>
        <v/>
      </c>
      <c r="L25" s="233">
        <f>X24-X$28</f>
        <v/>
      </c>
      <c r="N25" t="n">
        <v>7</v>
      </c>
      <c r="O25" s="234" t="n">
        <v>0.516</v>
      </c>
      <c r="P25" s="234" t="n">
        <v>0.429</v>
      </c>
      <c r="Q25" s="234" t="n">
        <v>0.516</v>
      </c>
      <c r="R25" s="234" t="n">
        <v>0.284</v>
      </c>
      <c r="S25" s="234" t="n">
        <v>0.4379999999999999</v>
      </c>
      <c r="T25" s="234" t="n">
        <v>0.457</v>
      </c>
      <c r="U25" s="234" t="n">
        <v>0.349</v>
      </c>
      <c r="V25" s="234" t="n">
        <v>0.34</v>
      </c>
      <c r="W25" s="234" t="n">
        <v>0.529</v>
      </c>
      <c r="X25" s="234" t="n">
        <v>0.396</v>
      </c>
    </row>
    <row r="26" ht="16" customHeight="1">
      <c r="A26" s="825" t="n"/>
      <c r="B26" s="235" t="n">
        <v>7</v>
      </c>
      <c r="C26" s="233">
        <f>O25-O$28</f>
        <v/>
      </c>
      <c r="D26" s="233">
        <f>P25-P$28</f>
        <v/>
      </c>
      <c r="E26" s="233">
        <f>Q25-Q$28</f>
        <v/>
      </c>
      <c r="F26" s="233">
        <f>R25-R$28</f>
        <v/>
      </c>
      <c r="G26" s="233">
        <f>S25-S$28</f>
        <v/>
      </c>
      <c r="H26" s="233">
        <f>T25-T$28</f>
        <v/>
      </c>
      <c r="I26" s="233">
        <f>U25-U$28</f>
        <v/>
      </c>
      <c r="J26" s="233">
        <f>V25-V$28</f>
        <v/>
      </c>
      <c r="K26" s="233">
        <f>W25-W$28</f>
        <v/>
      </c>
      <c r="L26" s="233">
        <f>X25-X$28</f>
        <v/>
      </c>
      <c r="N26" t="n">
        <v>8</v>
      </c>
      <c r="O26" s="234" t="n">
        <v>0.495</v>
      </c>
      <c r="P26" s="234" t="n">
        <v>0.405</v>
      </c>
      <c r="Q26" s="234" t="n">
        <v>0.503</v>
      </c>
      <c r="R26" s="234" t="n">
        <v>0.271</v>
      </c>
      <c r="S26" s="234" t="n">
        <v>0.415</v>
      </c>
      <c r="T26" s="234" t="n">
        <v>0.433</v>
      </c>
      <c r="U26" s="234" t="n">
        <v>0.324</v>
      </c>
      <c r="V26" s="234" t="n">
        <v>0.314</v>
      </c>
      <c r="W26" s="234" t="n">
        <v>0.484</v>
      </c>
      <c r="X26" s="234" t="n">
        <v>0.371</v>
      </c>
    </row>
    <row r="27" ht="16" customHeight="1">
      <c r="A27" s="825" t="n"/>
      <c r="B27" s="235" t="n">
        <v>8</v>
      </c>
      <c r="C27" s="233">
        <f>O26-O$28</f>
        <v/>
      </c>
      <c r="D27" s="233">
        <f>P26-P$28</f>
        <v/>
      </c>
      <c r="E27" s="233">
        <f>Q26-Q$28</f>
        <v/>
      </c>
      <c r="F27" s="233">
        <f>R26-R$28</f>
        <v/>
      </c>
      <c r="G27" s="233">
        <f>S26-S$28</f>
        <v/>
      </c>
      <c r="H27" s="233">
        <f>T26-T$28</f>
        <v/>
      </c>
      <c r="I27" s="233">
        <f>U26-U$28</f>
        <v/>
      </c>
      <c r="J27" s="233">
        <f>V26-V$28</f>
        <v/>
      </c>
      <c r="K27" s="233">
        <f>W26-W$28</f>
        <v/>
      </c>
      <c r="L27" s="233">
        <f>X26-X$28</f>
        <v/>
      </c>
      <c r="N27" t="n">
        <v>9</v>
      </c>
      <c r="O27" s="234" t="n">
        <v>0.465</v>
      </c>
      <c r="P27" s="234" t="n">
        <v>0.371</v>
      </c>
      <c r="Q27" s="234" t="n">
        <v>0.476</v>
      </c>
      <c r="R27" s="234" t="n">
        <v>0.258</v>
      </c>
      <c r="S27" s="234" t="n">
        <v>0.4</v>
      </c>
      <c r="T27" s="234" t="n">
        <v>0.41</v>
      </c>
      <c r="U27" s="234" t="n">
        <v>0.305</v>
      </c>
      <c r="V27" s="234" t="n">
        <v>0.274</v>
      </c>
      <c r="W27" s="234" t="n">
        <v>0.455</v>
      </c>
      <c r="X27" s="234" t="n">
        <v>0.348</v>
      </c>
    </row>
    <row r="28" ht="16" customHeight="1">
      <c r="A28" s="826" t="n"/>
      <c r="B28" s="235" t="n">
        <v>9</v>
      </c>
      <c r="C28" s="233">
        <f>O27-O$28</f>
        <v/>
      </c>
      <c r="D28" s="233">
        <f>P27-P$28</f>
        <v/>
      </c>
      <c r="E28" s="233">
        <f>Q27-Q$28</f>
        <v/>
      </c>
      <c r="F28" s="233">
        <f>R27-R$28</f>
        <v/>
      </c>
      <c r="G28" s="233">
        <f>S27-S$28</f>
        <v/>
      </c>
      <c r="H28" s="233">
        <f>T27-T$28</f>
        <v/>
      </c>
      <c r="I28" s="233">
        <f>U27-U$28</f>
        <v/>
      </c>
      <c r="J28" s="233">
        <f>V27-V$28</f>
        <v/>
      </c>
      <c r="K28" s="233">
        <f>W27-W$28</f>
        <v/>
      </c>
      <c r="L28" s="233">
        <f>X27-X$28</f>
        <v/>
      </c>
      <c r="N28" t="n">
        <v>10</v>
      </c>
      <c r="O28" s="234" t="n">
        <v>0.449</v>
      </c>
      <c r="P28" s="234" t="n">
        <v>0.323</v>
      </c>
      <c r="Q28" s="234" t="n">
        <v>0.449</v>
      </c>
      <c r="R28" s="234" t="n">
        <v>0.247</v>
      </c>
      <c r="S28" s="234" t="n">
        <v>0.381</v>
      </c>
      <c r="T28" s="234" t="n">
        <v>0.39</v>
      </c>
      <c r="U28" s="234" t="n">
        <v>0.284</v>
      </c>
      <c r="V28" s="234" t="n">
        <v>0.255</v>
      </c>
      <c r="W28" s="234" t="n">
        <v>0.425</v>
      </c>
      <c r="X28" s="234" t="n">
        <v>0.328</v>
      </c>
    </row>
    <row r="29" ht="16" customHeight="1">
      <c r="B29" s="235" t="n">
        <v>10</v>
      </c>
      <c r="C29" s="233">
        <f>O28-O$28</f>
        <v/>
      </c>
      <c r="D29" s="233">
        <f>P28-P$28</f>
        <v/>
      </c>
      <c r="E29" s="233">
        <f>Q28-Q$28</f>
        <v/>
      </c>
      <c r="F29" s="233">
        <f>R28-R$28</f>
        <v/>
      </c>
      <c r="G29" s="233">
        <f>S28-S$28</f>
        <v/>
      </c>
      <c r="H29" s="233">
        <f>T28-T$28</f>
        <v/>
      </c>
      <c r="I29" s="233">
        <f>U28-U$28</f>
        <v/>
      </c>
      <c r="J29" s="233">
        <f>V28-V$28</f>
        <v/>
      </c>
      <c r="K29" s="233">
        <f>W28-W$28</f>
        <v/>
      </c>
      <c r="L29" s="233">
        <f>X28-X$28</f>
        <v/>
      </c>
    </row>
    <row r="30" ht="16" customHeight="1">
      <c r="A30" t="inlineStr">
        <is>
          <t>Source; Bureau of Labor Statistics</t>
        </is>
      </c>
      <c r="B30" s="237" t="n"/>
      <c r="C30" s="238" t="n"/>
      <c r="D30" s="238" t="n"/>
      <c r="E30" s="238" t="n"/>
      <c r="F30" s="238" t="n"/>
      <c r="G30" s="238" t="n"/>
      <c r="H30" s="238" t="n"/>
      <c r="I30" s="238" t="n"/>
      <c r="J30" s="238" t="n"/>
      <c r="K30" s="238" t="n"/>
      <c r="L30" s="238" t="n"/>
    </row>
    <row r="31" ht="16" customFormat="1" customHeight="1" s="188">
      <c r="A31" s="188" t="inlineStr">
        <is>
          <t>Thus, if you are valuing a technology firm that is 6 years old, the chance of failure is 11.70%.</t>
        </is>
      </c>
    </row>
    <row r="32" ht="16" customHeight="1">
      <c r="B32" s="188" t="n"/>
      <c r="C32" s="188" t="n"/>
      <c r="D32" s="188" t="n"/>
      <c r="E32" s="188" t="n"/>
      <c r="F32" s="188" t="n"/>
      <c r="G32" s="188" t="n"/>
      <c r="H32" s="188" t="n"/>
      <c r="I32" s="188" t="n"/>
      <c r="J32" s="188" t="n"/>
      <c r="K32" s="188" t="n"/>
      <c r="L32" s="188" t="n"/>
    </row>
    <row r="33" ht="16" customHeight="1">
      <c r="A33" s="236" t="inlineStr">
        <is>
          <t>Factors to consider</t>
        </is>
      </c>
    </row>
    <row r="34" ht="16" customHeight="1">
      <c r="A34" s="188" t="inlineStr">
        <is>
          <t xml:space="preserve">1. The likelihood of failure decreases for larger firms. </t>
        </is>
      </c>
    </row>
    <row r="35" ht="16" customHeight="1">
      <c r="A35" s="188" t="inlineStr">
        <is>
          <t>2. The likelihood of failure decreases with access to capital, and is thus lower for publicly traded firms or firms with multiple high profile VCs</t>
        </is>
      </c>
    </row>
    <row r="36" ht="16" customHeight="1">
      <c r="A36" s="188" t="inlineStr">
        <is>
          <t>3. The likelihood of failure decreases as revenue growth increases, since hope for future growth will sustain the firm.</t>
        </is>
      </c>
    </row>
    <row r="37" ht="16" customHeight="1">
      <c r="A37" s="188"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28"/>
  <sheetViews>
    <sheetView topLeftCell="A178" zoomScale="120" zoomScaleNormal="120" workbookViewId="0">
      <selection activeCell="B184" sqref="B184"/>
    </sheetView>
  </sheetViews>
  <sheetFormatPr baseColWidth="10" defaultRowHeight="13"/>
  <cols>
    <col width="27.5" bestFit="1" customWidth="1" min="1" max="1"/>
    <col width="15" bestFit="1" customWidth="1" min="2" max="2"/>
    <col width="18.5" bestFit="1" customWidth="1" min="3" max="3"/>
    <col width="21" bestFit="1" customWidth="1" style="657" min="4" max="4"/>
    <col width="20" bestFit="1" customWidth="1" min="5" max="5"/>
    <col width="17.6640625" bestFit="1" customWidth="1" min="6" max="6"/>
  </cols>
  <sheetData>
    <row r="1">
      <c r="A1" t="inlineStr">
        <is>
          <t>Mature Market ERP +</t>
        </is>
      </c>
      <c r="B1" s="145" t="n">
        <v>0.0423</v>
      </c>
      <c r="C1" t="inlineStr">
        <is>
          <t>Updated January 1, 2026</t>
        </is>
      </c>
    </row>
    <row r="2" ht="14" customFormat="1" customHeight="1" s="10">
      <c r="A2" s="167" t="inlineStr">
        <is>
          <t>Changing this number will update all your country equity risk premiums.</t>
        </is>
      </c>
      <c r="B2" s="167" t="n"/>
      <c r="C2" s="167" t="n"/>
      <c r="D2" s="471" t="n"/>
      <c r="E2" s="167" t="n"/>
      <c r="F2" s="167" t="n"/>
    </row>
    <row r="4" ht="16" customHeight="1">
      <c r="A4" s="474" t="inlineStr">
        <is>
          <t>Country</t>
        </is>
      </c>
      <c r="B4" s="478" t="inlineStr">
        <is>
          <t>Moody's rating</t>
        </is>
      </c>
      <c r="C4" s="472" t="inlineStr">
        <is>
          <t>Adj. Default Spread</t>
        </is>
      </c>
      <c r="D4" s="376" t="inlineStr">
        <is>
          <t>Equity Risk Premium</t>
        </is>
      </c>
      <c r="E4" s="488" t="inlineStr">
        <is>
          <t>Country Risk Premium</t>
        </is>
      </c>
      <c r="F4" s="488" t="inlineStr">
        <is>
          <t>Corporate Tax Rate</t>
        </is>
      </c>
    </row>
    <row r="5" ht="16" customHeight="1">
      <c r="A5" s="475" t="inlineStr">
        <is>
          <t>Abu Dhabi</t>
        </is>
      </c>
      <c r="B5" s="479" t="inlineStr">
        <is>
          <t>Aa2</t>
        </is>
      </c>
      <c r="C5" s="117" t="n">
        <v>0.0042</v>
      </c>
      <c r="D5" s="117">
        <f>$B$1+E5</f>
        <v/>
      </c>
      <c r="E5" s="489" t="n">
        <v>0.0064</v>
      </c>
      <c r="F5" s="490" t="n">
        <v>0.09</v>
      </c>
    </row>
    <row r="6" ht="16" customHeight="1">
      <c r="A6" s="475" t="inlineStr">
        <is>
          <t>Albania</t>
        </is>
      </c>
      <c r="B6" s="479" t="inlineStr">
        <is>
          <t>Ba3</t>
        </is>
      </c>
      <c r="C6" s="117" t="n">
        <v>0.0306</v>
      </c>
      <c r="D6" s="117">
        <f>$B$1+E6</f>
        <v/>
      </c>
      <c r="E6" s="489" t="n">
        <v>0.0466</v>
      </c>
      <c r="F6" s="490" t="n">
        <v>0.15</v>
      </c>
    </row>
    <row r="7" ht="16" customHeight="1">
      <c r="A7" s="486" t="inlineStr">
        <is>
          <t>Algeria</t>
        </is>
      </c>
      <c r="B7" s="479" t="inlineStr">
        <is>
          <t>NR</t>
        </is>
      </c>
      <c r="C7" s="117" t="n">
        <v>0.0383</v>
      </c>
      <c r="D7" s="117">
        <f>$B$1+E7</f>
        <v/>
      </c>
      <c r="E7" s="489" t="n">
        <v>0.0583</v>
      </c>
      <c r="F7" s="490" t="n">
        <v>0.1007</v>
      </c>
    </row>
    <row r="8" ht="16" customHeight="1">
      <c r="A8" s="475" t="inlineStr">
        <is>
          <t>Andorra (Principality of)</t>
        </is>
      </c>
      <c r="B8" s="479" t="inlineStr">
        <is>
          <t>Baa1</t>
        </is>
      </c>
      <c r="C8" s="117" t="n">
        <v>0.0136</v>
      </c>
      <c r="D8" s="117">
        <f>$B$1+E8</f>
        <v/>
      </c>
      <c r="E8" s="489" t="n">
        <v>0.0207</v>
      </c>
      <c r="F8" s="490" t="n">
        <v>0.1</v>
      </c>
    </row>
    <row r="9" ht="16" customHeight="1">
      <c r="A9" s="475" t="inlineStr">
        <is>
          <t>Angola</t>
        </is>
      </c>
      <c r="B9" s="479" t="inlineStr">
        <is>
          <t>B3</t>
        </is>
      </c>
      <c r="C9" s="117" t="n">
        <v>0.0552</v>
      </c>
      <c r="D9" s="117">
        <f>$B$1+E9</f>
        <v/>
      </c>
      <c r="E9" s="489" t="n">
        <v>0.08409999999999999</v>
      </c>
      <c r="F9" s="490" t="n">
        <v>0.25</v>
      </c>
    </row>
    <row r="10" ht="16" customHeight="1">
      <c r="A10" s="475" t="inlineStr">
        <is>
          <t>Anguilla</t>
        </is>
      </c>
      <c r="B10" s="479" t="inlineStr">
        <is>
          <t>NR</t>
        </is>
      </c>
      <c r="C10" s="117" t="n">
        <v>0.04915183026184869</v>
      </c>
      <c r="D10" s="117">
        <f>$B$1+E10</f>
        <v/>
      </c>
      <c r="E10" s="489" t="n">
        <v>0.074876823349771</v>
      </c>
      <c r="F10" s="490" t="n">
        <v>0.2652654754337485</v>
      </c>
    </row>
    <row r="11" ht="16" customHeight="1">
      <c r="A11" s="475" t="inlineStr">
        <is>
          <t>Antigua &amp; Barbuda</t>
        </is>
      </c>
      <c r="B11" s="479" t="inlineStr">
        <is>
          <t>NR</t>
        </is>
      </c>
      <c r="C11" s="117" t="n">
        <v>0.02778594186678078</v>
      </c>
      <c r="D11" s="117">
        <f>$B$1+E11</f>
        <v/>
      </c>
      <c r="E11" s="489" t="n">
        <v>0.04232849620618983</v>
      </c>
      <c r="F11" s="490" t="n">
        <v>0.3154669136565696</v>
      </c>
    </row>
    <row r="12" ht="16" customHeight="1">
      <c r="A12" s="475" t="inlineStr">
        <is>
          <t>Argentina</t>
        </is>
      </c>
      <c r="B12" s="479" t="inlineStr">
        <is>
          <t>Caa1</t>
        </is>
      </c>
      <c r="C12" s="117" t="n">
        <v>0.06370000000000001</v>
      </c>
      <c r="D12" s="117">
        <f>$B$1+E12</f>
        <v/>
      </c>
      <c r="E12" s="489" t="n">
        <v>0.09710000000000001</v>
      </c>
      <c r="F12" s="490" t="n">
        <v>0.35</v>
      </c>
    </row>
    <row r="13" ht="16" customHeight="1">
      <c r="A13" s="475" t="inlineStr">
        <is>
          <t>Armenia</t>
        </is>
      </c>
      <c r="B13" s="479" t="inlineStr">
        <is>
          <t>Ba3</t>
        </is>
      </c>
      <c r="C13" s="117" t="n">
        <v>0.0306</v>
      </c>
      <c r="D13" s="117">
        <f>$B$1+E13</f>
        <v/>
      </c>
      <c r="E13" s="489" t="n">
        <v>0.0466</v>
      </c>
      <c r="F13" s="490" t="n">
        <v>0.18</v>
      </c>
    </row>
    <row r="14" ht="16" customHeight="1">
      <c r="A14" s="475" t="inlineStr">
        <is>
          <t>Aruba</t>
        </is>
      </c>
      <c r="B14" s="479" t="inlineStr">
        <is>
          <t>Baa3</t>
        </is>
      </c>
      <c r="C14" s="117" t="n">
        <v>0.0187</v>
      </c>
      <c r="D14" s="117">
        <f>$B$1+E14</f>
        <v/>
      </c>
      <c r="E14" s="489" t="n">
        <v>0.0285</v>
      </c>
      <c r="F14" s="490" t="n">
        <v>0.22</v>
      </c>
    </row>
    <row r="15" ht="16" customHeight="1">
      <c r="A15" s="475" t="inlineStr">
        <is>
          <t>Australia</t>
        </is>
      </c>
      <c r="B15" s="479" t="inlineStr">
        <is>
          <t>Aaa</t>
        </is>
      </c>
      <c r="C15" s="117" t="n">
        <v>0</v>
      </c>
      <c r="D15" s="117">
        <f>$B$1+E15</f>
        <v/>
      </c>
      <c r="E15" s="489" t="n">
        <v>0</v>
      </c>
      <c r="F15" s="490" t="n">
        <v>0.3</v>
      </c>
    </row>
    <row r="16" ht="16" customHeight="1">
      <c r="A16" s="475" t="inlineStr">
        <is>
          <t>Austria</t>
        </is>
      </c>
      <c r="B16" s="479" t="inlineStr">
        <is>
          <t>Aa1</t>
        </is>
      </c>
      <c r="C16" s="117" t="n">
        <v>0.0023</v>
      </c>
      <c r="D16" s="117">
        <f>$B$1+E16</f>
        <v/>
      </c>
      <c r="E16" s="489" t="n">
        <v>0.0036</v>
      </c>
      <c r="F16" s="490" t="n">
        <v>0.23</v>
      </c>
    </row>
    <row r="17" ht="16" customHeight="1">
      <c r="A17" s="475" t="inlineStr">
        <is>
          <t>Azerbaijan</t>
        </is>
      </c>
      <c r="B17" s="479" t="inlineStr">
        <is>
          <t>Baa3</t>
        </is>
      </c>
      <c r="C17" s="117" t="n">
        <v>0.0187</v>
      </c>
      <c r="D17" s="117">
        <f>$B$1+E17</f>
        <v/>
      </c>
      <c r="E17" s="489" t="n">
        <v>0.0285</v>
      </c>
      <c r="F17" s="490" t="n">
        <v>0.2</v>
      </c>
    </row>
    <row r="18" ht="16" customHeight="1">
      <c r="A18" s="475" t="inlineStr">
        <is>
          <t>Bahamas</t>
        </is>
      </c>
      <c r="B18" s="479" t="inlineStr">
        <is>
          <t>B1</t>
        </is>
      </c>
      <c r="C18" s="117" t="n">
        <v>0.0383</v>
      </c>
      <c r="D18" s="117">
        <f>$B$1+E18</f>
        <v/>
      </c>
      <c r="E18" s="489" t="n">
        <v>0.0583</v>
      </c>
      <c r="F18" s="490" t="n">
        <v>0</v>
      </c>
    </row>
    <row r="19" ht="16" customHeight="1">
      <c r="A19" s="475" t="inlineStr">
        <is>
          <t>Bahrain</t>
        </is>
      </c>
      <c r="B19" s="479" t="inlineStr">
        <is>
          <t>B2</t>
        </is>
      </c>
      <c r="C19" s="117" t="n">
        <v>0.0467</v>
      </c>
      <c r="D19" s="117">
        <f>$B$1+E19</f>
        <v/>
      </c>
      <c r="E19" s="489" t="n">
        <v>0.0712</v>
      </c>
      <c r="F19" s="490" t="n">
        <v>0</v>
      </c>
    </row>
    <row r="20" ht="16" customHeight="1">
      <c r="A20" s="475" t="inlineStr">
        <is>
          <t>Bangladesh</t>
        </is>
      </c>
      <c r="B20" s="479" t="inlineStr">
        <is>
          <t>B2</t>
        </is>
      </c>
      <c r="C20" s="117" t="n">
        <v>0.0467</v>
      </c>
      <c r="D20" s="117">
        <f>$B$1+E20</f>
        <v/>
      </c>
      <c r="E20" s="489" t="n">
        <v>0.0712</v>
      </c>
      <c r="F20" s="490" t="n">
        <v>0.275</v>
      </c>
    </row>
    <row r="21" ht="16" customHeight="1">
      <c r="A21" s="475" t="inlineStr">
        <is>
          <t>Barbados</t>
        </is>
      </c>
      <c r="B21" s="479" t="inlineStr">
        <is>
          <t>B2</t>
        </is>
      </c>
      <c r="C21" s="117" t="n">
        <v>0.0467</v>
      </c>
      <c r="D21" s="117">
        <f>$B$1+E21</f>
        <v/>
      </c>
      <c r="E21" s="489" t="n">
        <v>0.0712</v>
      </c>
      <c r="F21" s="490" t="n">
        <v>0.09</v>
      </c>
    </row>
    <row r="22" ht="16" customHeight="1">
      <c r="A22" s="475" t="inlineStr">
        <is>
          <t>Belarus</t>
        </is>
      </c>
      <c r="B22" s="479" t="inlineStr">
        <is>
          <t>C</t>
        </is>
      </c>
      <c r="C22" s="117" t="n">
        <v>0.175</v>
      </c>
      <c r="D22" s="117">
        <f>$B$1+E22</f>
        <v/>
      </c>
      <c r="E22" s="489" t="n">
        <v>0.2666</v>
      </c>
      <c r="F22" s="490" t="n">
        <v>0.25</v>
      </c>
    </row>
    <row r="23" ht="16" customHeight="1">
      <c r="A23" s="475" t="inlineStr">
        <is>
          <t>Belgium</t>
        </is>
      </c>
      <c r="B23" s="479" t="inlineStr">
        <is>
          <t>Aa3</t>
        </is>
      </c>
      <c r="C23" s="117" t="n">
        <v>0.0051</v>
      </c>
      <c r="D23" s="117">
        <f>$B$1+E23</f>
        <v/>
      </c>
      <c r="E23" s="489" t="n">
        <v>0.0078</v>
      </c>
      <c r="F23" s="490" t="n">
        <v>0.25</v>
      </c>
    </row>
    <row r="24" ht="16" customHeight="1">
      <c r="A24" s="475" t="inlineStr">
        <is>
          <t>Belize</t>
        </is>
      </c>
      <c r="B24" s="479" t="inlineStr">
        <is>
          <t>Caa1</t>
        </is>
      </c>
      <c r="C24" s="117" t="n">
        <v>0.06370000000000001</v>
      </c>
      <c r="D24" s="117">
        <f>$B$1+E24</f>
        <v/>
      </c>
      <c r="E24" s="489" t="n">
        <v>0.09710000000000001</v>
      </c>
      <c r="F24" s="490" t="n">
        <v>0</v>
      </c>
    </row>
    <row r="25" ht="16" customHeight="1">
      <c r="A25" s="475" t="inlineStr">
        <is>
          <t>Benin</t>
        </is>
      </c>
      <c r="B25" s="479" t="inlineStr">
        <is>
          <t>B1</t>
        </is>
      </c>
      <c r="C25" s="117" t="n">
        <v>0.0383</v>
      </c>
      <c r="D25" s="117">
        <f>$B$1+E25</f>
        <v/>
      </c>
      <c r="E25" s="489" t="n">
        <v>0.0583</v>
      </c>
      <c r="F25" s="490" t="n">
        <v>0.3</v>
      </c>
    </row>
    <row r="26" ht="16" customHeight="1">
      <c r="A26" s="475" t="inlineStr">
        <is>
          <t>Bermuda</t>
        </is>
      </c>
      <c r="B26" s="479" t="inlineStr">
        <is>
          <t>A2</t>
        </is>
      </c>
      <c r="C26" s="117" t="n">
        <v>0.0072</v>
      </c>
      <c r="D26" s="117">
        <f>$B$1+E26</f>
        <v/>
      </c>
      <c r="E26" s="489" t="n">
        <v>0.011</v>
      </c>
      <c r="F26" s="490" t="n">
        <v>0</v>
      </c>
    </row>
    <row r="27" ht="16" customHeight="1">
      <c r="A27" s="475" t="inlineStr">
        <is>
          <t>Bolivia</t>
        </is>
      </c>
      <c r="B27" s="479" t="inlineStr">
        <is>
          <t>Ca</t>
        </is>
      </c>
      <c r="C27" s="117" t="n">
        <v>0.102</v>
      </c>
      <c r="D27" s="117">
        <f>$B$1+E27</f>
        <v/>
      </c>
      <c r="E27" s="489" t="n">
        <v>0.1554</v>
      </c>
      <c r="F27" s="490" t="n">
        <v>0.25</v>
      </c>
    </row>
    <row r="28" ht="16" customHeight="1">
      <c r="A28" s="475" t="inlineStr">
        <is>
          <t>Bosnia and Herzegovina</t>
        </is>
      </c>
      <c r="B28" s="479" t="inlineStr">
        <is>
          <t>B3</t>
        </is>
      </c>
      <c r="C28" s="117" t="n">
        <v>0.0552</v>
      </c>
      <c r="D28" s="117">
        <f>$B$1+E28</f>
        <v/>
      </c>
      <c r="E28" s="489" t="n">
        <v>0.08409999999999999</v>
      </c>
      <c r="F28" s="490" t="n">
        <v>0.1</v>
      </c>
    </row>
    <row r="29" ht="16" customHeight="1">
      <c r="A29" s="475" t="inlineStr">
        <is>
          <t>Botswana</t>
        </is>
      </c>
      <c r="B29" s="479" t="inlineStr">
        <is>
          <t>Baa1</t>
        </is>
      </c>
      <c r="C29" s="117" t="n">
        <v>0.0136</v>
      </c>
      <c r="D29" s="117">
        <f>$B$1+E29</f>
        <v/>
      </c>
      <c r="E29" s="489" t="n">
        <v>0.0207</v>
      </c>
      <c r="F29" s="490" t="n">
        <v>0.22</v>
      </c>
    </row>
    <row r="30" ht="16" customHeight="1">
      <c r="A30" s="475" t="inlineStr">
        <is>
          <t>Brazil</t>
        </is>
      </c>
      <c r="B30" s="479" t="inlineStr">
        <is>
          <t>Ba1</t>
        </is>
      </c>
      <c r="C30" s="117" t="n">
        <v>0.0213</v>
      </c>
      <c r="D30" s="117">
        <f>$B$1+E30</f>
        <v/>
      </c>
      <c r="E30" s="489" t="n">
        <v>0.0324</v>
      </c>
      <c r="F30" s="490" t="n">
        <v>0.34</v>
      </c>
    </row>
    <row r="31" ht="16" customHeight="1">
      <c r="A31" s="475" t="inlineStr">
        <is>
          <t>British Virgin Islands</t>
        </is>
      </c>
      <c r="B31" s="479" t="inlineStr">
        <is>
          <t>NR</t>
        </is>
      </c>
      <c r="C31" s="117" t="n">
        <v>0.04915183026184869</v>
      </c>
      <c r="D31" s="117">
        <f>$B$1+E31</f>
        <v/>
      </c>
      <c r="E31" s="489" t="n">
        <v>0.074876823349771</v>
      </c>
      <c r="F31" s="490" t="n">
        <v>0.2652654754337485</v>
      </c>
    </row>
    <row r="32" ht="16" customHeight="1">
      <c r="A32" s="487" t="inlineStr">
        <is>
          <t>Brunei</t>
        </is>
      </c>
      <c r="B32" s="479" t="inlineStr">
        <is>
          <t>NR</t>
        </is>
      </c>
      <c r="C32" s="117" t="n">
        <v>0.0051</v>
      </c>
      <c r="D32" s="117">
        <f>$B$1+E32</f>
        <v/>
      </c>
      <c r="E32" s="489" t="n">
        <v>0.0078</v>
      </c>
      <c r="F32" s="490" t="n">
        <v>0.0502</v>
      </c>
    </row>
    <row r="33" ht="16" customHeight="1">
      <c r="A33" s="475" t="inlineStr">
        <is>
          <t>Bulgaria</t>
        </is>
      </c>
      <c r="B33" s="479" t="inlineStr">
        <is>
          <t>Baa1</t>
        </is>
      </c>
      <c r="C33" s="117" t="n">
        <v>0.0136</v>
      </c>
      <c r="D33" s="117">
        <f>$B$1+E33</f>
        <v/>
      </c>
      <c r="E33" s="489" t="n">
        <v>0.0207</v>
      </c>
      <c r="F33" s="490" t="n">
        <v>0.1</v>
      </c>
    </row>
    <row r="34" ht="16" customHeight="1">
      <c r="A34" s="475" t="inlineStr">
        <is>
          <t>Burkina Faso</t>
        </is>
      </c>
      <c r="B34" s="479" t="inlineStr">
        <is>
          <t>Caa1</t>
        </is>
      </c>
      <c r="C34" s="117" t="n">
        <v>0.06370000000000001</v>
      </c>
      <c r="D34" s="117">
        <f>$B$1+E34</f>
        <v/>
      </c>
      <c r="E34" s="489" t="n">
        <v>0.09710000000000001</v>
      </c>
      <c r="F34" s="490" t="n">
        <v>0.275</v>
      </c>
    </row>
    <row r="35" ht="16" customHeight="1">
      <c r="A35" s="475" t="inlineStr">
        <is>
          <t>Cambodia</t>
        </is>
      </c>
      <c r="B35" s="479" t="inlineStr">
        <is>
          <t>B2</t>
        </is>
      </c>
      <c r="C35" s="117" t="n">
        <v>0.0467</v>
      </c>
      <c r="D35" s="117">
        <f>$B$1+E35</f>
        <v/>
      </c>
      <c r="E35" s="489" t="n">
        <v>0.0712</v>
      </c>
      <c r="F35" s="490" t="n">
        <v>0.2</v>
      </c>
    </row>
    <row r="36" ht="16" customHeight="1">
      <c r="A36" s="475" t="inlineStr">
        <is>
          <t>Cameroon</t>
        </is>
      </c>
      <c r="B36" s="479" t="inlineStr">
        <is>
          <t>Caa1</t>
        </is>
      </c>
      <c r="C36" s="117" t="n">
        <v>0.06370000000000001</v>
      </c>
      <c r="D36" s="117">
        <f>$B$1+E36</f>
        <v/>
      </c>
      <c r="E36" s="489" t="n">
        <v>0.09710000000000001</v>
      </c>
      <c r="F36" s="490" t="n">
        <v>0.33</v>
      </c>
    </row>
    <row r="37" ht="16" customHeight="1">
      <c r="A37" s="475" t="inlineStr">
        <is>
          <t>Canada</t>
        </is>
      </c>
      <c r="B37" s="479" t="inlineStr">
        <is>
          <t>Aaa</t>
        </is>
      </c>
      <c r="C37" s="117" t="n">
        <v>0</v>
      </c>
      <c r="D37" s="117">
        <f>$B$1+E37</f>
        <v/>
      </c>
      <c r="E37" s="489" t="n">
        <v>0</v>
      </c>
      <c r="F37" s="490" t="n">
        <v>0.2614</v>
      </c>
    </row>
    <row r="38" ht="16" customHeight="1">
      <c r="A38" s="475" t="inlineStr">
        <is>
          <t>Cape Verde</t>
        </is>
      </c>
      <c r="B38" s="479" t="inlineStr">
        <is>
          <t>B2</t>
        </is>
      </c>
      <c r="C38" s="117" t="n">
        <v>0.0467</v>
      </c>
      <c r="D38" s="117">
        <f>$B$1+E38</f>
        <v/>
      </c>
      <c r="E38" s="489" t="n">
        <v>0.0712</v>
      </c>
      <c r="F38" s="490" t="n">
        <v>0.2686</v>
      </c>
    </row>
    <row r="39" ht="16" customHeight="1">
      <c r="A39" s="475" t="inlineStr">
        <is>
          <t>Cayman Islands</t>
        </is>
      </c>
      <c r="B39" s="479" t="inlineStr">
        <is>
          <t>NR</t>
        </is>
      </c>
      <c r="C39" s="117" t="n">
        <v>0.0051</v>
      </c>
      <c r="D39" s="117">
        <f>$B$1+E39</f>
        <v/>
      </c>
      <c r="E39" s="489" t="n">
        <v>0.0078</v>
      </c>
      <c r="F39" s="490" t="n">
        <v>0</v>
      </c>
    </row>
    <row r="40" ht="16" customHeight="1">
      <c r="A40" s="475" t="inlineStr">
        <is>
          <t>Channel Islands</t>
        </is>
      </c>
      <c r="B40" s="479" t="inlineStr">
        <is>
          <t>NR</t>
        </is>
      </c>
      <c r="C40" s="117" t="n">
        <v>0.006804264459189996</v>
      </c>
      <c r="D40" s="117">
        <f>$B$1+E40</f>
        <v/>
      </c>
      <c r="E40" s="489" t="n">
        <v>0.01036546767885774</v>
      </c>
      <c r="F40" s="490" t="n">
        <v>0.2555723115658393</v>
      </c>
    </row>
    <row r="41" ht="16" customHeight="1">
      <c r="A41" s="475" t="inlineStr">
        <is>
          <t>Chile</t>
        </is>
      </c>
      <c r="B41" s="479" t="inlineStr">
        <is>
          <t>A2</t>
        </is>
      </c>
      <c r="C41" s="117" t="n">
        <v>0.0072</v>
      </c>
      <c r="D41" s="117">
        <f>$B$1+E41</f>
        <v/>
      </c>
      <c r="E41" s="489" t="n">
        <v>0.011</v>
      </c>
      <c r="F41" s="490" t="n">
        <v>0.27</v>
      </c>
    </row>
    <row r="42" ht="16" customHeight="1">
      <c r="A42" s="475" t="inlineStr">
        <is>
          <t>China</t>
        </is>
      </c>
      <c r="B42" s="479" t="inlineStr">
        <is>
          <t>A1</t>
        </is>
      </c>
      <c r="C42" s="117" t="n">
        <v>0.006</v>
      </c>
      <c r="D42" s="117">
        <f>$B$1+E42</f>
        <v/>
      </c>
      <c r="E42" s="489" t="n">
        <v>0.0091</v>
      </c>
      <c r="F42" s="490" t="n">
        <v>0.25</v>
      </c>
    </row>
    <row r="43" ht="16" customHeight="1">
      <c r="A43" s="475" t="inlineStr">
        <is>
          <t>Colombia</t>
        </is>
      </c>
      <c r="B43" s="479" t="inlineStr">
        <is>
          <t>Baa3</t>
        </is>
      </c>
      <c r="C43" s="117" t="n">
        <v>0.0187</v>
      </c>
      <c r="D43" s="117">
        <f>$B$1+E43</f>
        <v/>
      </c>
      <c r="E43" s="489" t="n">
        <v>0.0285</v>
      </c>
      <c r="F43" s="490" t="n">
        <v>0.35</v>
      </c>
    </row>
    <row r="44" ht="16" customHeight="1">
      <c r="A44" s="475" t="inlineStr">
        <is>
          <t>Congo (Democratic Republic of)</t>
        </is>
      </c>
      <c r="B44" s="479" t="inlineStr">
        <is>
          <t>B3</t>
        </is>
      </c>
      <c r="C44" s="117" t="n">
        <v>0.0552</v>
      </c>
      <c r="D44" s="117">
        <f>$B$1+E44</f>
        <v/>
      </c>
      <c r="E44" s="489" t="n">
        <v>0.08409999999999999</v>
      </c>
      <c r="F44" s="490" t="n">
        <v>0.3</v>
      </c>
    </row>
    <row r="45" ht="16" customHeight="1">
      <c r="A45" s="475" t="inlineStr">
        <is>
          <t>Congo (Republic of)</t>
        </is>
      </c>
      <c r="B45" s="479" t="inlineStr">
        <is>
          <t>Caa2</t>
        </is>
      </c>
      <c r="C45" s="117" t="n">
        <v>0.0765</v>
      </c>
      <c r="D45" s="117">
        <f>$B$1+E45</f>
        <v/>
      </c>
      <c r="E45" s="489" t="n">
        <v>0.1166</v>
      </c>
      <c r="F45" s="490" t="n">
        <v>0.2686</v>
      </c>
    </row>
    <row r="46" ht="16" customHeight="1">
      <c r="A46" s="475" t="inlineStr">
        <is>
          <t>Cook Islands</t>
        </is>
      </c>
      <c r="B46" s="479" t="inlineStr">
        <is>
          <t>B1</t>
        </is>
      </c>
      <c r="C46" s="117" t="n">
        <v>0.0383</v>
      </c>
      <c r="D46" s="117">
        <f>$B$1+E46</f>
        <v/>
      </c>
      <c r="E46" s="489" t="n">
        <v>0.0583</v>
      </c>
      <c r="F46" s="490" t="n">
        <v>0.2</v>
      </c>
    </row>
    <row r="47" ht="16" customHeight="1">
      <c r="A47" s="475" t="inlineStr">
        <is>
          <t>Costa Rica</t>
        </is>
      </c>
      <c r="B47" s="479" t="inlineStr">
        <is>
          <t>Ba2</t>
        </is>
      </c>
      <c r="C47" s="117" t="n">
        <v>0.0256</v>
      </c>
      <c r="D47" s="117">
        <f>$B$1+E47</f>
        <v/>
      </c>
      <c r="E47" s="489" t="n">
        <v>0.039</v>
      </c>
      <c r="F47" s="490" t="n">
        <v>0.3</v>
      </c>
    </row>
    <row r="48" ht="16" customHeight="1">
      <c r="A48" s="475" t="inlineStr">
        <is>
          <t>Croatia</t>
        </is>
      </c>
      <c r="B48" s="479" t="inlineStr">
        <is>
          <t>A3</t>
        </is>
      </c>
      <c r="C48" s="117" t="n">
        <v>0.0102</v>
      </c>
      <c r="D48" s="117">
        <f>$B$1+E48</f>
        <v/>
      </c>
      <c r="E48" s="489" t="n">
        <v>0.0155</v>
      </c>
      <c r="F48" s="490" t="n">
        <v>0.18</v>
      </c>
    </row>
    <row r="49" ht="16" customHeight="1">
      <c r="A49" s="475" t="inlineStr">
        <is>
          <t>Cuba</t>
        </is>
      </c>
      <c r="B49" s="479" t="inlineStr">
        <is>
          <t>Ca</t>
        </is>
      </c>
      <c r="C49" s="117" t="n">
        <v>0.102</v>
      </c>
      <c r="D49" s="117">
        <f>$B$1+E49</f>
        <v/>
      </c>
      <c r="E49" s="489" t="n">
        <v>0.1554</v>
      </c>
      <c r="F49" s="490" t="n">
        <v>0.35</v>
      </c>
    </row>
    <row r="50" ht="16" customHeight="1">
      <c r="A50" s="476" t="inlineStr">
        <is>
          <t>Curaçao</t>
        </is>
      </c>
      <c r="B50" s="479" t="inlineStr">
        <is>
          <t>NR</t>
        </is>
      </c>
      <c r="C50" s="117" t="n">
        <v>0.02778594186678078</v>
      </c>
      <c r="D50" s="117">
        <f>$B$1+E50</f>
        <v/>
      </c>
      <c r="E50" s="489" t="n">
        <v>0.04232849620618983</v>
      </c>
      <c r="F50" s="490" t="n">
        <v>0.3154669136565696</v>
      </c>
    </row>
    <row r="51" ht="16" customHeight="1">
      <c r="A51" s="475" t="inlineStr">
        <is>
          <t>Cyprus</t>
        </is>
      </c>
      <c r="B51" s="479" t="inlineStr">
        <is>
          <t>A3</t>
        </is>
      </c>
      <c r="C51" s="117" t="n">
        <v>0.0102</v>
      </c>
      <c r="D51" s="117">
        <f>$B$1+E51</f>
        <v/>
      </c>
      <c r="E51" s="489" t="n">
        <v>0.0155</v>
      </c>
      <c r="F51" s="490" t="n">
        <v>0.125</v>
      </c>
    </row>
    <row r="52" ht="16" customHeight="1">
      <c r="A52" s="475" t="inlineStr">
        <is>
          <t>Czech Republic</t>
        </is>
      </c>
      <c r="B52" s="479" t="inlineStr">
        <is>
          <t>Aa3</t>
        </is>
      </c>
      <c r="C52" s="117" t="n">
        <v>0.0051</v>
      </c>
      <c r="D52" s="117">
        <f>$B$1+E52</f>
        <v/>
      </c>
      <c r="E52" s="489" t="n">
        <v>0.0078</v>
      </c>
      <c r="F52" s="490" t="n">
        <v>0.21</v>
      </c>
    </row>
    <row r="53" ht="16" customHeight="1">
      <c r="A53" s="475" t="inlineStr">
        <is>
          <t>Denmark</t>
        </is>
      </c>
      <c r="B53" s="479" t="inlineStr">
        <is>
          <t>Aaa</t>
        </is>
      </c>
      <c r="C53" s="117" t="n">
        <v>0</v>
      </c>
      <c r="D53" s="117">
        <f>$B$1+E53</f>
        <v/>
      </c>
      <c r="E53" s="489" t="n">
        <v>0</v>
      </c>
      <c r="F53" s="490" t="n">
        <v>0.22</v>
      </c>
    </row>
    <row r="54" ht="16" customHeight="1">
      <c r="A54" s="475" t="inlineStr">
        <is>
          <t>Dominican Republic</t>
        </is>
      </c>
      <c r="B54" s="479" t="inlineStr">
        <is>
          <t>Ba2</t>
        </is>
      </c>
      <c r="C54" s="117" t="n">
        <v>0.0256</v>
      </c>
      <c r="D54" s="117">
        <f>$B$1+E54</f>
        <v/>
      </c>
      <c r="E54" s="489" t="n">
        <v>0.039</v>
      </c>
      <c r="F54" s="490" t="n">
        <v>0.27</v>
      </c>
    </row>
    <row r="55" ht="16" customHeight="1">
      <c r="A55" s="475" t="inlineStr">
        <is>
          <t>Ecuador</t>
        </is>
      </c>
      <c r="B55" s="479" t="inlineStr">
        <is>
          <t>Caa3</t>
        </is>
      </c>
      <c r="C55" s="117" t="n">
        <v>0.08500000000000001</v>
      </c>
      <c r="D55" s="117">
        <f>$B$1+E55</f>
        <v/>
      </c>
      <c r="E55" s="489" t="n">
        <v>0.1295</v>
      </c>
      <c r="F55" s="490" t="n">
        <v>0.25</v>
      </c>
    </row>
    <row r="56" ht="16" customHeight="1">
      <c r="A56" s="475" t="inlineStr">
        <is>
          <t>Egypt</t>
        </is>
      </c>
      <c r="B56" s="479" t="inlineStr">
        <is>
          <t>Caa1</t>
        </is>
      </c>
      <c r="C56" s="117" t="n">
        <v>0.06370000000000001</v>
      </c>
      <c r="D56" s="117">
        <f>$B$1+E56</f>
        <v/>
      </c>
      <c r="E56" s="489" t="n">
        <v>0.09710000000000001</v>
      </c>
      <c r="F56" s="490" t="n">
        <v>0.225</v>
      </c>
    </row>
    <row r="57" ht="16" customHeight="1">
      <c r="A57" s="475" t="inlineStr">
        <is>
          <t>El Salvador</t>
        </is>
      </c>
      <c r="B57" s="479" t="inlineStr">
        <is>
          <t>B3</t>
        </is>
      </c>
      <c r="C57" s="117" t="n">
        <v>0.0552</v>
      </c>
      <c r="D57" s="117">
        <f>$B$1+E57</f>
        <v/>
      </c>
      <c r="E57" s="489" t="n">
        <v>0.08409999999999999</v>
      </c>
      <c r="F57" s="490" t="n">
        <v>0.3</v>
      </c>
    </row>
    <row r="58" ht="16" customHeight="1">
      <c r="A58" s="475" t="inlineStr">
        <is>
          <t>Estonia</t>
        </is>
      </c>
      <c r="B58" s="479" t="inlineStr">
        <is>
          <t>A1</t>
        </is>
      </c>
      <c r="C58" s="117" t="n">
        <v>0.006</v>
      </c>
      <c r="D58" s="117">
        <f>$B$1+E58</f>
        <v/>
      </c>
      <c r="E58" s="489" t="n">
        <v>0.0091</v>
      </c>
      <c r="F58" s="490" t="n">
        <v>0.2</v>
      </c>
    </row>
    <row r="59" ht="16" customHeight="1">
      <c r="A59" s="475" t="inlineStr">
        <is>
          <t>Ethiopia</t>
        </is>
      </c>
      <c r="B59" s="479" t="inlineStr">
        <is>
          <t>Caa2</t>
        </is>
      </c>
      <c r="C59" s="117" t="n">
        <v>0.0765</v>
      </c>
      <c r="D59" s="117">
        <f>$B$1+E59</f>
        <v/>
      </c>
      <c r="E59" s="489" t="n">
        <v>0.1166</v>
      </c>
      <c r="F59" s="490" t="n">
        <v>0.3</v>
      </c>
    </row>
    <row r="60" ht="16" customHeight="1">
      <c r="A60" s="475" t="inlineStr">
        <is>
          <t>Falkland Islands</t>
        </is>
      </c>
      <c r="B60" s="479" t="inlineStr">
        <is>
          <t>NR</t>
        </is>
      </c>
      <c r="C60" s="473" t="n">
        <v>0.02778594186678078</v>
      </c>
      <c r="D60" s="117">
        <f>$B$1+E60</f>
        <v/>
      </c>
      <c r="E60" s="489" t="n">
        <v>0.04232849620618983</v>
      </c>
      <c r="F60" s="490" t="n">
        <v>0.3154669136565696</v>
      </c>
    </row>
    <row r="61" ht="16" customHeight="1">
      <c r="A61" s="475" t="inlineStr">
        <is>
          <t>Fiji</t>
        </is>
      </c>
      <c r="B61" s="479" t="inlineStr">
        <is>
          <t>B1</t>
        </is>
      </c>
      <c r="C61" s="117" t="n">
        <v>0.0383</v>
      </c>
      <c r="D61" s="117">
        <f>$B$1+E61</f>
        <v/>
      </c>
      <c r="E61" s="489" t="n">
        <v>0.0583</v>
      </c>
      <c r="F61" s="490" t="n">
        <v>0.25</v>
      </c>
    </row>
    <row r="62" ht="16" customHeight="1">
      <c r="A62" s="475" t="inlineStr">
        <is>
          <t>Finland</t>
        </is>
      </c>
      <c r="B62" s="479" t="inlineStr">
        <is>
          <t>Aa1</t>
        </is>
      </c>
      <c r="C62" s="117" t="n">
        <v>0.0023</v>
      </c>
      <c r="D62" s="117">
        <f>$B$1+E62</f>
        <v/>
      </c>
      <c r="E62" s="489" t="n">
        <v>0.0036</v>
      </c>
      <c r="F62" s="490" t="n">
        <v>0.2</v>
      </c>
    </row>
    <row r="63" ht="16" customHeight="1">
      <c r="A63" s="475" t="inlineStr">
        <is>
          <t>France</t>
        </is>
      </c>
      <c r="B63" s="479" t="inlineStr">
        <is>
          <t>Aa3</t>
        </is>
      </c>
      <c r="C63" s="117" t="n">
        <v>0.0051</v>
      </c>
      <c r="D63" s="117">
        <f>$B$1+E63</f>
        <v/>
      </c>
      <c r="E63" s="489" t="n">
        <v>0.0078</v>
      </c>
      <c r="F63" s="490" t="n">
        <v>0.2583</v>
      </c>
    </row>
    <row r="64" ht="16" customHeight="1">
      <c r="A64" s="475" t="inlineStr">
        <is>
          <t>French Guiana</t>
        </is>
      </c>
      <c r="B64" s="479" t="inlineStr">
        <is>
          <t>NR</t>
        </is>
      </c>
      <c r="C64" s="473" t="n">
        <v>0.02778594186678078</v>
      </c>
      <c r="D64" s="117">
        <f>$B$1+E64</f>
        <v/>
      </c>
      <c r="E64" s="489" t="n">
        <v>0.04232849620618983</v>
      </c>
      <c r="F64" s="490" t="n">
        <v>0.3154669136565696</v>
      </c>
    </row>
    <row r="65" ht="16" customHeight="1">
      <c r="A65" s="475" t="inlineStr">
        <is>
          <t>Gabon</t>
        </is>
      </c>
      <c r="B65" s="479" t="inlineStr">
        <is>
          <t>Caa2</t>
        </is>
      </c>
      <c r="C65" s="117" t="n">
        <v>0.0765</v>
      </c>
      <c r="D65" s="117">
        <f>$B$1+E65</f>
        <v/>
      </c>
      <c r="E65" s="489" t="n">
        <v>0.1166</v>
      </c>
      <c r="F65" s="490" t="n">
        <v>0.3</v>
      </c>
    </row>
    <row r="66" ht="16" customHeight="1">
      <c r="A66" s="486" t="inlineStr">
        <is>
          <t>Gambia</t>
        </is>
      </c>
      <c r="B66" s="479" t="inlineStr">
        <is>
          <t>NR</t>
        </is>
      </c>
      <c r="C66" s="117" t="n">
        <v>0.0467</v>
      </c>
      <c r="D66" s="117">
        <f>$B$1+E66</f>
        <v/>
      </c>
      <c r="E66" s="489" t="n">
        <v>0.0712</v>
      </c>
      <c r="F66" s="490" t="n">
        <v>0.1136</v>
      </c>
    </row>
    <row r="67" ht="16" customHeight="1">
      <c r="A67" s="475" t="inlineStr">
        <is>
          <t>Georgia</t>
        </is>
      </c>
      <c r="B67" s="479" t="inlineStr">
        <is>
          <t>Ba2</t>
        </is>
      </c>
      <c r="C67" s="117" t="n">
        <v>0.0256</v>
      </c>
      <c r="D67" s="117">
        <f>$B$1+E67</f>
        <v/>
      </c>
      <c r="E67" s="489" t="n">
        <v>0.039</v>
      </c>
      <c r="F67" s="490" t="n">
        <v>0.15</v>
      </c>
    </row>
    <row r="68" ht="16" customHeight="1">
      <c r="A68" s="475" t="inlineStr">
        <is>
          <t>Germany</t>
        </is>
      </c>
      <c r="B68" s="479" t="inlineStr">
        <is>
          <t>Aaa</t>
        </is>
      </c>
      <c r="C68" s="117" t="n">
        <v>0</v>
      </c>
      <c r="D68" s="117">
        <f>$B$1+E68</f>
        <v/>
      </c>
      <c r="E68" s="489" t="n">
        <v>0</v>
      </c>
      <c r="F68" s="490" t="n">
        <v>0.2993</v>
      </c>
    </row>
    <row r="69" ht="16" customHeight="1">
      <c r="A69" s="475" t="inlineStr">
        <is>
          <t>Ghana</t>
        </is>
      </c>
      <c r="B69" s="479" t="inlineStr">
        <is>
          <t>Caa1</t>
        </is>
      </c>
      <c r="C69" s="117" t="n">
        <v>0.06370000000000001</v>
      </c>
      <c r="D69" s="117">
        <f>$B$1+E69</f>
        <v/>
      </c>
      <c r="E69" s="489" t="n">
        <v>0.09710000000000001</v>
      </c>
      <c r="F69" s="490" t="n">
        <v>0.25</v>
      </c>
    </row>
    <row r="70" ht="16" customHeight="1">
      <c r="A70" s="475" t="inlineStr">
        <is>
          <t>Gibraltar</t>
        </is>
      </c>
      <c r="B70" s="479" t="inlineStr">
        <is>
          <t>NR</t>
        </is>
      </c>
      <c r="C70" s="117" t="n">
        <v>0.006804264459189996</v>
      </c>
      <c r="D70" s="117">
        <f>$B$1+E70</f>
        <v/>
      </c>
      <c r="E70" s="489" t="n">
        <v>0.01036546767885774</v>
      </c>
      <c r="F70" s="490" t="n">
        <v>0.2555723115658393</v>
      </c>
    </row>
    <row r="71" ht="16" customHeight="1">
      <c r="A71" s="475" t="inlineStr">
        <is>
          <t>Greece</t>
        </is>
      </c>
      <c r="B71" s="479" t="inlineStr">
        <is>
          <t>Baa3</t>
        </is>
      </c>
      <c r="C71" s="117" t="n">
        <v>0.0187</v>
      </c>
      <c r="D71" s="117">
        <f>$B$1+E71</f>
        <v/>
      </c>
      <c r="E71" s="489" t="n">
        <v>0.0285</v>
      </c>
      <c r="F71" s="490" t="n">
        <v>0.22</v>
      </c>
    </row>
    <row r="72" ht="16" customHeight="1">
      <c r="A72" s="475" t="inlineStr">
        <is>
          <t>Greenland</t>
        </is>
      </c>
      <c r="B72" s="479" t="inlineStr">
        <is>
          <t>Aaa</t>
        </is>
      </c>
      <c r="C72" s="117" t="n">
        <v>0</v>
      </c>
      <c r="D72" s="117">
        <f>$B$1+E72</f>
        <v/>
      </c>
      <c r="E72" s="489" t="n">
        <v>0</v>
      </c>
      <c r="F72" s="490" t="n">
        <v>0.22</v>
      </c>
    </row>
    <row r="73" ht="16" customHeight="1">
      <c r="A73" s="475" t="inlineStr">
        <is>
          <t>Guatemala</t>
        </is>
      </c>
      <c r="B73" s="479" t="inlineStr">
        <is>
          <t>Ba1</t>
        </is>
      </c>
      <c r="C73" s="117" t="n">
        <v>0.0213</v>
      </c>
      <c r="D73" s="117">
        <f>$B$1+E73</f>
        <v/>
      </c>
      <c r="E73" s="489" t="n">
        <v>0.0324</v>
      </c>
      <c r="F73" s="490" t="n">
        <v>0.25</v>
      </c>
    </row>
    <row r="74" ht="16" customHeight="1">
      <c r="A74" s="475" t="inlineStr">
        <is>
          <t>Guernsey (States of)</t>
        </is>
      </c>
      <c r="B74" s="479" t="inlineStr">
        <is>
          <t>A1</t>
        </is>
      </c>
      <c r="C74" s="117" t="n">
        <v>0.006</v>
      </c>
      <c r="D74" s="117">
        <f>$B$1+E74</f>
        <v/>
      </c>
      <c r="E74" s="489" t="n">
        <v>0.0091</v>
      </c>
      <c r="F74" s="490" t="n">
        <v>0</v>
      </c>
    </row>
    <row r="75" ht="16" customHeight="1">
      <c r="A75" s="487" t="inlineStr">
        <is>
          <t>Guinea</t>
        </is>
      </c>
      <c r="B75" s="479" t="inlineStr">
        <is>
          <t>NR</t>
        </is>
      </c>
      <c r="C75" s="117" t="n">
        <v>0.0765</v>
      </c>
      <c r="D75" s="117">
        <f>$B$1+E75</f>
        <v/>
      </c>
      <c r="E75" s="489" t="n">
        <v>0.1166</v>
      </c>
      <c r="F75" s="490" t="n">
        <v>0.159</v>
      </c>
    </row>
    <row r="76" ht="16" customHeight="1">
      <c r="A76" s="486" t="inlineStr">
        <is>
          <t>Guinea-Bissau</t>
        </is>
      </c>
      <c r="B76" s="479" t="inlineStr">
        <is>
          <t>NR</t>
        </is>
      </c>
      <c r="C76" s="117" t="n">
        <v>0.06370000000000001</v>
      </c>
      <c r="D76" s="117">
        <f>$B$1+E76</f>
        <v/>
      </c>
      <c r="E76" s="489" t="n">
        <v>0.09710000000000001</v>
      </c>
      <c r="F76" s="490" t="n">
        <v>0.1395</v>
      </c>
    </row>
    <row r="77" ht="16" customHeight="1">
      <c r="A77" s="487" t="inlineStr">
        <is>
          <t>Guyana</t>
        </is>
      </c>
      <c r="B77" s="479" t="inlineStr">
        <is>
          <t>NR</t>
        </is>
      </c>
      <c r="C77" s="117" t="n">
        <v>0.0136</v>
      </c>
      <c r="D77" s="117">
        <f>$B$1+E77</f>
        <v/>
      </c>
      <c r="E77" s="489" t="n">
        <v>0.0207</v>
      </c>
      <c r="F77" s="490" t="n">
        <v>0.0631</v>
      </c>
    </row>
    <row r="78" ht="16" customHeight="1">
      <c r="A78" s="486" t="inlineStr">
        <is>
          <t>Haiti</t>
        </is>
      </c>
      <c r="B78" s="479" t="inlineStr">
        <is>
          <t>NR</t>
        </is>
      </c>
      <c r="C78" s="117" t="n">
        <v>0.08500000000000001</v>
      </c>
      <c r="D78" s="117">
        <f>$B$1+E78</f>
        <v/>
      </c>
      <c r="E78" s="489" t="n">
        <v>0.1295</v>
      </c>
      <c r="F78" s="490" t="n">
        <v>0.1719</v>
      </c>
    </row>
    <row r="79" ht="16" customHeight="1">
      <c r="A79" s="475" t="inlineStr">
        <is>
          <t>Honduras</t>
        </is>
      </c>
      <c r="B79" s="479" t="inlineStr">
        <is>
          <t>B1</t>
        </is>
      </c>
      <c r="C79" s="117" t="n">
        <v>0.0383</v>
      </c>
      <c r="D79" s="117">
        <f>$B$1+E79</f>
        <v/>
      </c>
      <c r="E79" s="489" t="n">
        <v>0.0583</v>
      </c>
      <c r="F79" s="490" t="n">
        <v>0.3</v>
      </c>
    </row>
    <row r="80" ht="16" customHeight="1">
      <c r="A80" s="475" t="inlineStr">
        <is>
          <t>Hong Kong</t>
        </is>
      </c>
      <c r="B80" s="479" t="inlineStr">
        <is>
          <t>Aa3</t>
        </is>
      </c>
      <c r="C80" s="117" t="n">
        <v>0.0051</v>
      </c>
      <c r="D80" s="117">
        <f>$B$1+E80</f>
        <v/>
      </c>
      <c r="E80" s="489" t="n">
        <v>0.0078</v>
      </c>
      <c r="F80" s="490" t="n">
        <v>0.165</v>
      </c>
    </row>
    <row r="81" ht="16" customHeight="1">
      <c r="A81" s="475" t="inlineStr">
        <is>
          <t>Hungary</t>
        </is>
      </c>
      <c r="B81" s="479" t="inlineStr">
        <is>
          <t>Baa2</t>
        </is>
      </c>
      <c r="C81" s="117" t="n">
        <v>0.0162</v>
      </c>
      <c r="D81" s="117">
        <f>$B$1+E81</f>
        <v/>
      </c>
      <c r="E81" s="489" t="n">
        <v>0.0246</v>
      </c>
      <c r="F81" s="490" t="n">
        <v>0.09</v>
      </c>
    </row>
    <row r="82" ht="16" customHeight="1">
      <c r="A82" s="475" t="inlineStr">
        <is>
          <t>Iceland</t>
        </is>
      </c>
      <c r="B82" s="479" t="inlineStr">
        <is>
          <t>A1</t>
        </is>
      </c>
      <c r="C82" s="117" t="n">
        <v>0.006</v>
      </c>
      <c r="D82" s="117">
        <f>$B$1+E82</f>
        <v/>
      </c>
      <c r="E82" s="489" t="n">
        <v>0.0091</v>
      </c>
      <c r="F82" s="490" t="n">
        <v>0.21</v>
      </c>
    </row>
    <row r="83" ht="16" customHeight="1">
      <c r="A83" s="475" t="inlineStr">
        <is>
          <t>India</t>
        </is>
      </c>
      <c r="B83" s="479" t="inlineStr">
        <is>
          <t>Baa3</t>
        </is>
      </c>
      <c r="C83" s="117" t="n">
        <v>0.0187</v>
      </c>
      <c r="D83" s="117">
        <f>$B$1+E83</f>
        <v/>
      </c>
      <c r="E83" s="489" t="n">
        <v>0.0285</v>
      </c>
      <c r="F83" s="490" t="n">
        <v>0.3</v>
      </c>
    </row>
    <row r="84" ht="16" customHeight="1">
      <c r="A84" s="475" t="inlineStr">
        <is>
          <t>Indonesia</t>
        </is>
      </c>
      <c r="B84" s="479" t="inlineStr">
        <is>
          <t>Baa2</t>
        </is>
      </c>
      <c r="C84" s="117" t="n">
        <v>0.0162</v>
      </c>
      <c r="D84" s="117">
        <f>$B$1+E84</f>
        <v/>
      </c>
      <c r="E84" s="489" t="n">
        <v>0.0246</v>
      </c>
      <c r="F84" s="490" t="n">
        <v>0.22</v>
      </c>
    </row>
    <row r="85" ht="16" customHeight="1">
      <c r="A85" s="487" t="inlineStr">
        <is>
          <t>Iran</t>
        </is>
      </c>
      <c r="B85" s="479" t="inlineStr">
        <is>
          <t>NR</t>
        </is>
      </c>
      <c r="C85" s="117" t="n">
        <v>0.06370000000000001</v>
      </c>
      <c r="D85" s="117">
        <f>$B$1+E85</f>
        <v/>
      </c>
      <c r="E85" s="489" t="n">
        <v>0.09710000000000001</v>
      </c>
      <c r="F85" s="490" t="n">
        <v>0.1395</v>
      </c>
    </row>
    <row r="86" ht="16" customHeight="1">
      <c r="A86" s="475" t="inlineStr">
        <is>
          <t>Iraq</t>
        </is>
      </c>
      <c r="B86" s="479" t="inlineStr">
        <is>
          <t>Caa1</t>
        </is>
      </c>
      <c r="C86" s="117" t="n">
        <v>0.06370000000000001</v>
      </c>
      <c r="D86" s="117">
        <f>$B$1+E86</f>
        <v/>
      </c>
      <c r="E86" s="489" t="n">
        <v>0.09710000000000001</v>
      </c>
      <c r="F86" s="490" t="n">
        <v>0.15</v>
      </c>
    </row>
    <row r="87" ht="16" customHeight="1">
      <c r="A87" s="475" t="inlineStr">
        <is>
          <t>Ireland</t>
        </is>
      </c>
      <c r="B87" s="479" t="inlineStr">
        <is>
          <t>Aa3</t>
        </is>
      </c>
      <c r="C87" s="117" t="n">
        <v>0.0051</v>
      </c>
      <c r="D87" s="117">
        <f>$B$1+E87</f>
        <v/>
      </c>
      <c r="E87" s="489" t="n">
        <v>0.0078</v>
      </c>
      <c r="F87" s="490" t="n">
        <v>0.125</v>
      </c>
    </row>
    <row r="88" ht="16" customHeight="1">
      <c r="A88" s="475" t="inlineStr">
        <is>
          <t>Isle of Man</t>
        </is>
      </c>
      <c r="B88" s="479" t="inlineStr">
        <is>
          <t>Aa3</t>
        </is>
      </c>
      <c r="C88" s="117" t="n">
        <v>0.0051</v>
      </c>
      <c r="D88" s="117">
        <f>$B$1+E88</f>
        <v/>
      </c>
      <c r="E88" s="489" t="n">
        <v>0.0078</v>
      </c>
      <c r="F88" s="490" t="n">
        <v>0</v>
      </c>
    </row>
    <row r="89" ht="16" customHeight="1">
      <c r="A89" s="475" t="inlineStr">
        <is>
          <t>Israel</t>
        </is>
      </c>
      <c r="B89" s="479" t="inlineStr">
        <is>
          <t>Baa1</t>
        </is>
      </c>
      <c r="C89" s="117" t="n">
        <v>0.0136</v>
      </c>
      <c r="D89" s="117">
        <f>$B$1+E89</f>
        <v/>
      </c>
      <c r="E89" s="489" t="n">
        <v>0.0207</v>
      </c>
      <c r="F89" s="490" t="n">
        <v>0.23</v>
      </c>
    </row>
    <row r="90" ht="16" customHeight="1">
      <c r="A90" s="475" t="inlineStr">
        <is>
          <t>Italy</t>
        </is>
      </c>
      <c r="B90" s="479" t="inlineStr">
        <is>
          <t>Baa2</t>
        </is>
      </c>
      <c r="C90" s="117" t="n">
        <v>0.0162</v>
      </c>
      <c r="D90" s="117">
        <f>$B$1+E90</f>
        <v/>
      </c>
      <c r="E90" s="489" t="n">
        <v>0.0246</v>
      </c>
      <c r="F90" s="490" t="n">
        <v>0.2781</v>
      </c>
    </row>
    <row r="91" ht="16" customHeight="1">
      <c r="A91" s="475" t="inlineStr">
        <is>
          <t>Ivory Coast</t>
        </is>
      </c>
      <c r="B91" s="479" t="inlineStr">
        <is>
          <t>Ba2</t>
        </is>
      </c>
      <c r="C91" s="123" t="n">
        <v>0.0256</v>
      </c>
      <c r="D91" s="117">
        <f>$B$1+E91</f>
        <v/>
      </c>
      <c r="E91" s="489" t="n">
        <v>0.039</v>
      </c>
      <c r="F91" s="490" t="n">
        <v>0.25</v>
      </c>
    </row>
    <row r="92" ht="16" customHeight="1">
      <c r="A92" s="475" t="inlineStr">
        <is>
          <t>Jamaica</t>
        </is>
      </c>
      <c r="B92" s="479" t="inlineStr">
        <is>
          <t>Ba3</t>
        </is>
      </c>
      <c r="C92" s="117" t="n">
        <v>0.0306</v>
      </c>
      <c r="D92" s="117">
        <f>$B$1+E92</f>
        <v/>
      </c>
      <c r="E92" s="489" t="n">
        <v>0.0466</v>
      </c>
      <c r="F92" s="490" t="n">
        <v>0.25</v>
      </c>
    </row>
    <row r="93" ht="16" customHeight="1">
      <c r="A93" s="475" t="inlineStr">
        <is>
          <t>Japan</t>
        </is>
      </c>
      <c r="B93" s="479" t="inlineStr">
        <is>
          <t>A1</t>
        </is>
      </c>
      <c r="C93" s="117" t="n">
        <v>0.006</v>
      </c>
      <c r="D93" s="117">
        <f>$B$1+E93</f>
        <v/>
      </c>
      <c r="E93" s="489" t="n">
        <v>0.0091</v>
      </c>
      <c r="F93" s="490" t="n">
        <v>0.2974</v>
      </c>
    </row>
    <row r="94" ht="16" customHeight="1">
      <c r="A94" s="475" t="inlineStr">
        <is>
          <t>Jersey (States of)</t>
        </is>
      </c>
      <c r="B94" s="479" t="inlineStr">
        <is>
          <t>Aa3</t>
        </is>
      </c>
      <c r="C94" s="117" t="n">
        <v>0.0051</v>
      </c>
      <c r="D94" s="117">
        <f>$B$1+E94</f>
        <v/>
      </c>
      <c r="E94" s="489" t="n">
        <v>0.0078</v>
      </c>
      <c r="F94" s="490" t="n">
        <v>0</v>
      </c>
    </row>
    <row r="95" ht="16" customHeight="1">
      <c r="A95" s="475" t="inlineStr">
        <is>
          <t>Jordan</t>
        </is>
      </c>
      <c r="B95" s="479" t="inlineStr">
        <is>
          <t>Ba3</t>
        </is>
      </c>
      <c r="C95" s="117" t="n">
        <v>0.0306</v>
      </c>
      <c r="D95" s="117">
        <f>$B$1+E95</f>
        <v/>
      </c>
      <c r="E95" s="489" t="n">
        <v>0.0466</v>
      </c>
      <c r="F95" s="490" t="n">
        <v>0.2</v>
      </c>
    </row>
    <row r="96" ht="16" customHeight="1">
      <c r="A96" s="475" t="inlineStr">
        <is>
          <t>Kazakhstan</t>
        </is>
      </c>
      <c r="B96" s="479" t="inlineStr">
        <is>
          <t>Baa1</t>
        </is>
      </c>
      <c r="C96" s="117" t="n">
        <v>0.0136</v>
      </c>
      <c r="D96" s="117">
        <f>$B$1+E96</f>
        <v/>
      </c>
      <c r="E96" s="489" t="n">
        <v>0.0207</v>
      </c>
      <c r="F96" s="490" t="n">
        <v>0.2</v>
      </c>
    </row>
    <row r="97" ht="16" customHeight="1">
      <c r="A97" s="475" t="inlineStr">
        <is>
          <t>Kenya</t>
        </is>
      </c>
      <c r="B97" s="479" t="inlineStr">
        <is>
          <t>Caa1</t>
        </is>
      </c>
      <c r="C97" s="117" t="n">
        <v>0.06370000000000001</v>
      </c>
      <c r="D97" s="117">
        <f>$B$1+E97</f>
        <v/>
      </c>
      <c r="E97" s="489" t="n">
        <v>0.09710000000000001</v>
      </c>
      <c r="F97" s="490" t="n">
        <v>0.3</v>
      </c>
    </row>
    <row r="98" ht="16" customHeight="1">
      <c r="A98" s="486" t="inlineStr">
        <is>
          <t>Korea, D.P.R.</t>
        </is>
      </c>
      <c r="B98" s="479" t="inlineStr">
        <is>
          <t>NR</t>
        </is>
      </c>
      <c r="C98" s="117" t="n">
        <v>0.102</v>
      </c>
      <c r="D98" s="117">
        <f>$B$1+E98</f>
        <v/>
      </c>
      <c r="E98" s="489" t="n">
        <v>0.1554</v>
      </c>
      <c r="F98" s="490" t="n">
        <v>0.1978</v>
      </c>
    </row>
    <row r="99" ht="16" customHeight="1">
      <c r="A99" s="475" t="inlineStr">
        <is>
          <t>Kuwait</t>
        </is>
      </c>
      <c r="B99" s="479" t="inlineStr">
        <is>
          <t>A1</t>
        </is>
      </c>
      <c r="C99" s="117" t="n">
        <v>0.006</v>
      </c>
      <c r="D99" s="117">
        <f>$B$1+E99</f>
        <v/>
      </c>
      <c r="E99" s="489" t="n">
        <v>0.0091</v>
      </c>
      <c r="F99" s="490" t="n">
        <v>0.15</v>
      </c>
    </row>
    <row r="100" ht="16" customHeight="1">
      <c r="A100" s="475" t="inlineStr">
        <is>
          <t>Kyrgyzstan</t>
        </is>
      </c>
      <c r="B100" s="479" t="inlineStr">
        <is>
          <t>B3</t>
        </is>
      </c>
      <c r="C100" s="117" t="n">
        <v>0.0552</v>
      </c>
      <c r="D100" s="117">
        <f>$B$1+E100</f>
        <v/>
      </c>
      <c r="E100" s="489" t="n">
        <v>0.08409999999999999</v>
      </c>
      <c r="F100" s="490" t="n">
        <v>0.1</v>
      </c>
    </row>
    <row r="101" ht="16" customHeight="1">
      <c r="A101" s="475" t="inlineStr">
        <is>
          <t>Laos</t>
        </is>
      </c>
      <c r="B101" s="479" t="inlineStr">
        <is>
          <t>Caa2</t>
        </is>
      </c>
      <c r="C101" s="117" t="n">
        <v>0.0765</v>
      </c>
      <c r="D101" s="117">
        <f>$B$1+E101</f>
        <v/>
      </c>
      <c r="E101" s="489" t="n">
        <v>0.1166</v>
      </c>
      <c r="F101" s="490" t="n">
        <v>0.2</v>
      </c>
    </row>
    <row r="102" ht="16" customHeight="1">
      <c r="A102" s="475" t="inlineStr">
        <is>
          <t>Latvia</t>
        </is>
      </c>
      <c r="B102" s="479" t="inlineStr">
        <is>
          <t>A3</t>
        </is>
      </c>
      <c r="C102" s="117" t="n">
        <v>0.0102</v>
      </c>
      <c r="D102" s="117">
        <f>$B$1+E102</f>
        <v/>
      </c>
      <c r="E102" s="489" t="n">
        <v>0.0155</v>
      </c>
      <c r="F102" s="490" t="n">
        <v>0.2</v>
      </c>
    </row>
    <row r="103" ht="16" customHeight="1">
      <c r="A103" s="475" t="inlineStr">
        <is>
          <t>Lebanon</t>
        </is>
      </c>
      <c r="B103" s="479" t="inlineStr">
        <is>
          <t>C</t>
        </is>
      </c>
      <c r="C103" s="117" t="n">
        <v>0.175</v>
      </c>
      <c r="D103" s="117">
        <f>$B$1+E103</f>
        <v/>
      </c>
      <c r="E103" s="489" t="n">
        <v>0.2666</v>
      </c>
      <c r="F103" s="490" t="n">
        <v>0.17</v>
      </c>
    </row>
    <row r="104" ht="16" customHeight="1">
      <c r="A104" s="487" t="inlineStr">
        <is>
          <t>Liberia</t>
        </is>
      </c>
      <c r="B104" s="479" t="inlineStr">
        <is>
          <t>NR</t>
        </is>
      </c>
      <c r="C104" s="117" t="n">
        <v>0.0765</v>
      </c>
      <c r="D104" s="117">
        <f>$B$1+E104</f>
        <v/>
      </c>
      <c r="E104" s="489" t="n">
        <v>0.1166</v>
      </c>
      <c r="F104" s="490" t="n">
        <v>0.159</v>
      </c>
    </row>
    <row r="105" ht="16" customHeight="1">
      <c r="A105" s="486" t="inlineStr">
        <is>
          <t>Libya</t>
        </is>
      </c>
      <c r="B105" s="479" t="inlineStr">
        <is>
          <t>NR</t>
        </is>
      </c>
      <c r="C105" s="117" t="n">
        <v>0.0256</v>
      </c>
      <c r="D105" s="117">
        <f>$B$1+E105</f>
        <v/>
      </c>
      <c r="E105" s="489" t="n">
        <v>0.039</v>
      </c>
      <c r="F105" s="490" t="n">
        <v>0.0814</v>
      </c>
    </row>
    <row r="106" ht="16" customHeight="1">
      <c r="A106" s="475" t="inlineStr">
        <is>
          <t>Liechtenstein</t>
        </is>
      </c>
      <c r="B106" s="479" t="inlineStr">
        <is>
          <t>Aaa</t>
        </is>
      </c>
      <c r="C106" s="117" t="n">
        <v>0</v>
      </c>
      <c r="D106" s="117">
        <f>$B$1+E106</f>
        <v/>
      </c>
      <c r="E106" s="489" t="n">
        <v>0</v>
      </c>
      <c r="F106" s="490" t="n">
        <v>0.125</v>
      </c>
    </row>
    <row r="107" ht="16" customHeight="1">
      <c r="A107" s="475" t="inlineStr">
        <is>
          <t>Lithuania</t>
        </is>
      </c>
      <c r="B107" s="479" t="inlineStr">
        <is>
          <t>A2</t>
        </is>
      </c>
      <c r="C107" s="117" t="n">
        <v>0.0072</v>
      </c>
      <c r="D107" s="117">
        <f>$B$1+E107</f>
        <v/>
      </c>
      <c r="E107" s="489" t="n">
        <v>0.011</v>
      </c>
      <c r="F107" s="490" t="n">
        <v>0.15</v>
      </c>
    </row>
    <row r="108" ht="16" customHeight="1">
      <c r="A108" s="475" t="inlineStr">
        <is>
          <t>Luxembourg</t>
        </is>
      </c>
      <c r="B108" s="479" t="inlineStr">
        <is>
          <t>Aaa</t>
        </is>
      </c>
      <c r="C108" s="117" t="n">
        <v>0</v>
      </c>
      <c r="D108" s="117">
        <f>$B$1+E108</f>
        <v/>
      </c>
      <c r="E108" s="489" t="n">
        <v>0</v>
      </c>
      <c r="F108" s="490" t="n">
        <v>0.2494</v>
      </c>
    </row>
    <row r="109" ht="16" customHeight="1">
      <c r="A109" s="475" t="inlineStr">
        <is>
          <t>Macau</t>
        </is>
      </c>
      <c r="B109" s="479" t="inlineStr">
        <is>
          <t>Aa3</t>
        </is>
      </c>
      <c r="C109" s="123" t="n">
        <v>0.0051</v>
      </c>
      <c r="D109" s="117">
        <f>$B$1+E109</f>
        <v/>
      </c>
      <c r="E109" s="489" t="n">
        <v>0.0078</v>
      </c>
      <c r="F109" s="490" t="n">
        <v>0.25</v>
      </c>
    </row>
    <row r="110" ht="16" customHeight="1">
      <c r="A110" s="475" t="inlineStr">
        <is>
          <t>Macedonia</t>
        </is>
      </c>
      <c r="B110" s="479" t="inlineStr">
        <is>
          <t>Ba3</t>
        </is>
      </c>
      <c r="C110" s="117" t="n">
        <v>0.0306</v>
      </c>
      <c r="D110" s="117">
        <f>$B$1+E110</f>
        <v/>
      </c>
      <c r="E110" s="489" t="n">
        <v>0.0466</v>
      </c>
      <c r="F110" s="490" t="n">
        <v>0.1</v>
      </c>
    </row>
    <row r="111" ht="16" customHeight="1">
      <c r="A111" s="487" t="inlineStr">
        <is>
          <t>Madagascar</t>
        </is>
      </c>
      <c r="B111" s="479" t="inlineStr">
        <is>
          <t>NR</t>
        </is>
      </c>
      <c r="C111" s="117" t="n">
        <v>0.0552</v>
      </c>
      <c r="D111" s="117">
        <f>$B$1+E111</f>
        <v/>
      </c>
      <c r="E111" s="489" t="n">
        <v>0.08409999999999999</v>
      </c>
      <c r="F111" s="490" t="n">
        <v>0.1265</v>
      </c>
    </row>
    <row r="112" ht="16" customHeight="1">
      <c r="A112" s="486" t="inlineStr">
        <is>
          <t>Malawi</t>
        </is>
      </c>
      <c r="B112" s="479" t="inlineStr">
        <is>
          <t>NR</t>
        </is>
      </c>
      <c r="C112" s="117" t="n">
        <v>0.08500000000000001</v>
      </c>
      <c r="D112" s="117">
        <f>$B$1+E112</f>
        <v/>
      </c>
      <c r="E112" s="489" t="n">
        <v>0.1295</v>
      </c>
      <c r="F112" s="490" t="n">
        <v>0.1719</v>
      </c>
    </row>
    <row r="113" ht="16" customHeight="1">
      <c r="A113" s="475" t="inlineStr">
        <is>
          <t>Malaysia</t>
        </is>
      </c>
      <c r="B113" s="479" t="inlineStr">
        <is>
          <t>A3</t>
        </is>
      </c>
      <c r="C113" s="117" t="n">
        <v>0.0102</v>
      </c>
      <c r="D113" s="117">
        <f>$B$1+E113</f>
        <v/>
      </c>
      <c r="E113" s="489" t="n">
        <v>0.0155</v>
      </c>
      <c r="F113" s="490" t="n">
        <v>0.24</v>
      </c>
    </row>
    <row r="114" ht="16" customHeight="1">
      <c r="A114" s="475" t="inlineStr">
        <is>
          <t>Maldives</t>
        </is>
      </c>
      <c r="B114" s="479" t="inlineStr">
        <is>
          <t>Caa2</t>
        </is>
      </c>
      <c r="C114" s="117" t="n">
        <v>0.0765</v>
      </c>
      <c r="D114" s="117">
        <f>$B$1+E114</f>
        <v/>
      </c>
      <c r="E114" s="489" t="n">
        <v>0.1166</v>
      </c>
      <c r="F114" s="490" t="n">
        <v>0.15</v>
      </c>
    </row>
    <row r="115" ht="16" customHeight="1">
      <c r="A115" s="475" t="inlineStr">
        <is>
          <t>Mali</t>
        </is>
      </c>
      <c r="B115" s="479" t="inlineStr">
        <is>
          <t>Caa2</t>
        </is>
      </c>
      <c r="C115" s="117" t="n">
        <v>0.0765</v>
      </c>
      <c r="D115" s="117">
        <f>$B$1+E115</f>
        <v/>
      </c>
      <c r="E115" s="489" t="n">
        <v>0.1166</v>
      </c>
      <c r="F115" s="490" t="n">
        <v>0.3</v>
      </c>
    </row>
    <row r="116" ht="16" customHeight="1">
      <c r="A116" s="475" t="inlineStr">
        <is>
          <t>Malta</t>
        </is>
      </c>
      <c r="B116" s="479" t="inlineStr">
        <is>
          <t>A2</t>
        </is>
      </c>
      <c r="C116" s="117" t="n">
        <v>0.0072</v>
      </c>
      <c r="D116" s="117">
        <f>$B$1+E116</f>
        <v/>
      </c>
      <c r="E116" s="489" t="n">
        <v>0.011</v>
      </c>
      <c r="F116" s="490" t="n">
        <v>0.35</v>
      </c>
    </row>
    <row r="117" ht="16" customHeight="1">
      <c r="A117" s="475" t="inlineStr">
        <is>
          <t>Martinique</t>
        </is>
      </c>
      <c r="B117" s="479" t="inlineStr">
        <is>
          <t>NR</t>
        </is>
      </c>
      <c r="C117" s="117" t="n">
        <v>0.04915183026184869</v>
      </c>
      <c r="D117" s="117">
        <f>$B$1+E117</f>
        <v/>
      </c>
      <c r="E117" s="489" t="n">
        <v>0.074876823349771</v>
      </c>
      <c r="F117" s="490" t="n">
        <v>0.2652654754337485</v>
      </c>
    </row>
    <row r="118" ht="16" customHeight="1">
      <c r="A118" s="475" t="inlineStr">
        <is>
          <t>Mauritius</t>
        </is>
      </c>
      <c r="B118" s="479" t="inlineStr">
        <is>
          <t>Baa3</t>
        </is>
      </c>
      <c r="C118" s="117" t="n">
        <v>0.0187</v>
      </c>
      <c r="D118" s="117">
        <f>$B$1+E118</f>
        <v/>
      </c>
      <c r="E118" s="489" t="n">
        <v>0.0285</v>
      </c>
      <c r="F118" s="490" t="n">
        <v>0.15</v>
      </c>
    </row>
    <row r="119" ht="16" customHeight="1">
      <c r="A119" s="475" t="inlineStr">
        <is>
          <t>Mexico</t>
        </is>
      </c>
      <c r="B119" s="479" t="inlineStr">
        <is>
          <t>Baa2</t>
        </is>
      </c>
      <c r="C119" s="117" t="n">
        <v>0.0162</v>
      </c>
      <c r="D119" s="117">
        <f>$B$1+E119</f>
        <v/>
      </c>
      <c r="E119" s="489" t="n">
        <v>0.0246</v>
      </c>
      <c r="F119" s="490" t="n">
        <v>0.3</v>
      </c>
    </row>
    <row r="120" ht="16" customHeight="1">
      <c r="A120" s="475" t="inlineStr">
        <is>
          <t>Moldova</t>
        </is>
      </c>
      <c r="B120" s="479" t="inlineStr">
        <is>
          <t>B3</t>
        </is>
      </c>
      <c r="C120" s="117" t="n">
        <v>0.0552</v>
      </c>
      <c r="D120" s="117">
        <f>$B$1+E120</f>
        <v/>
      </c>
      <c r="E120" s="489" t="n">
        <v>0.08409999999999999</v>
      </c>
      <c r="F120" s="490" t="n">
        <v>0.12</v>
      </c>
    </row>
    <row r="121" ht="16" customHeight="1">
      <c r="A121" s="475" t="inlineStr">
        <is>
          <t>Monaco</t>
        </is>
      </c>
      <c r="B121" s="479" t="inlineStr">
        <is>
          <t>NR</t>
        </is>
      </c>
      <c r="C121" s="117" t="n">
        <v>0</v>
      </c>
      <c r="D121" s="117">
        <f>$B$1+E121</f>
        <v/>
      </c>
      <c r="E121" s="489" t="n">
        <v>0</v>
      </c>
      <c r="F121" s="490" t="n">
        <v>0.2</v>
      </c>
    </row>
    <row r="122" ht="16" customHeight="1">
      <c r="A122" s="475" t="inlineStr">
        <is>
          <t>Mongolia</t>
        </is>
      </c>
      <c r="B122" s="479" t="inlineStr">
        <is>
          <t>B1</t>
        </is>
      </c>
      <c r="C122" s="117" t="n">
        <v>0.0383</v>
      </c>
      <c r="D122" s="117">
        <f>$B$1+E122</f>
        <v/>
      </c>
      <c r="E122" s="489" t="n">
        <v>0.0583</v>
      </c>
      <c r="F122" s="490" t="n">
        <v>0.25</v>
      </c>
    </row>
    <row r="123" ht="16" customHeight="1">
      <c r="A123" s="475" t="inlineStr">
        <is>
          <t>Montenegro</t>
        </is>
      </c>
      <c r="B123" s="479" t="inlineStr">
        <is>
          <t>B1</t>
        </is>
      </c>
      <c r="C123" s="117" t="n">
        <v>0.0383</v>
      </c>
      <c r="D123" s="117">
        <f>$B$1+E123</f>
        <v/>
      </c>
      <c r="E123" s="489" t="n">
        <v>0.0583</v>
      </c>
      <c r="F123" s="490" t="n">
        <v>0.15</v>
      </c>
    </row>
    <row r="124" ht="16" customHeight="1">
      <c r="A124" s="475" t="inlineStr">
        <is>
          <t>Montserrat</t>
        </is>
      </c>
      <c r="B124" s="479" t="inlineStr">
        <is>
          <t>Baa3</t>
        </is>
      </c>
      <c r="C124" s="117" t="n">
        <v>0.0187</v>
      </c>
      <c r="D124" s="117">
        <f>$B$1+E124</f>
        <v/>
      </c>
      <c r="E124" s="489" t="n">
        <v>0.0285</v>
      </c>
      <c r="F124" s="490" t="n">
        <v>0.3</v>
      </c>
    </row>
    <row r="125" ht="16" customHeight="1">
      <c r="A125" s="475" t="inlineStr">
        <is>
          <t>Morocco</t>
        </is>
      </c>
      <c r="B125" s="479" t="inlineStr">
        <is>
          <t>Ba1</t>
        </is>
      </c>
      <c r="C125" s="117" t="n">
        <v>0.0213</v>
      </c>
      <c r="D125" s="117">
        <f>$B$1+E125</f>
        <v/>
      </c>
      <c r="E125" s="489" t="n">
        <v>0.0324</v>
      </c>
      <c r="F125" s="490" t="n">
        <v>0.33</v>
      </c>
    </row>
    <row r="126" ht="16" customHeight="1">
      <c r="A126" s="475" t="inlineStr">
        <is>
          <t>Mozambique</t>
        </is>
      </c>
      <c r="B126" s="479" t="inlineStr">
        <is>
          <t>Caa3</t>
        </is>
      </c>
      <c r="C126" s="117" t="n">
        <v>0.08500000000000001</v>
      </c>
      <c r="D126" s="117">
        <f>$B$1+E126</f>
        <v/>
      </c>
      <c r="E126" s="489" t="n">
        <v>0.1295</v>
      </c>
      <c r="F126" s="490" t="n">
        <v>0.32</v>
      </c>
    </row>
    <row r="127" ht="16" customHeight="1">
      <c r="A127" s="487" t="inlineStr">
        <is>
          <t>Myanmar</t>
        </is>
      </c>
      <c r="B127" s="479" t="inlineStr">
        <is>
          <t>NR</t>
        </is>
      </c>
      <c r="C127" s="117" t="n">
        <v>0.102</v>
      </c>
      <c r="D127" s="117">
        <f>$B$1+E127</f>
        <v/>
      </c>
      <c r="E127" s="489" t="n">
        <v>0.1554</v>
      </c>
      <c r="F127" s="490" t="n">
        <v>0.1978</v>
      </c>
    </row>
    <row r="128" ht="16" customHeight="1">
      <c r="A128" s="475" t="inlineStr">
        <is>
          <t>Namibia</t>
        </is>
      </c>
      <c r="B128" s="479" t="inlineStr">
        <is>
          <t>B1</t>
        </is>
      </c>
      <c r="C128" s="117" t="n">
        <v>0.0383</v>
      </c>
      <c r="D128" s="117">
        <f>$B$1+E128</f>
        <v/>
      </c>
      <c r="E128" s="489" t="n">
        <v>0.0583</v>
      </c>
      <c r="F128" s="490" t="n">
        <v>0.32</v>
      </c>
    </row>
    <row r="129" ht="16" customHeight="1">
      <c r="A129" s="477" t="inlineStr">
        <is>
          <t>Nepal</t>
        </is>
      </c>
      <c r="B129" s="479" t="inlineStr">
        <is>
          <t>Ba3</t>
        </is>
      </c>
      <c r="C129" s="117" t="n">
        <v>0.0306</v>
      </c>
      <c r="D129" s="117">
        <f>$B$1+E129</f>
        <v/>
      </c>
      <c r="E129" s="489" t="n">
        <v>0.0466</v>
      </c>
      <c r="F129" s="490" t="n">
        <v>0.25</v>
      </c>
    </row>
    <row r="130" ht="16" customHeight="1">
      <c r="A130" s="475" t="inlineStr">
        <is>
          <t>Netherlands</t>
        </is>
      </c>
      <c r="B130" s="479" t="inlineStr">
        <is>
          <t>Aaa</t>
        </is>
      </c>
      <c r="C130" s="117" t="n">
        <v>0</v>
      </c>
      <c r="D130" s="117">
        <f>$B$1+E130</f>
        <v/>
      </c>
      <c r="E130" s="489" t="n">
        <v>0</v>
      </c>
      <c r="F130" s="490" t="n">
        <v>0.258</v>
      </c>
    </row>
    <row r="131" ht="16" customHeight="1">
      <c r="A131" s="475" t="inlineStr">
        <is>
          <t>Netherlands Antilles</t>
        </is>
      </c>
      <c r="B131" s="479" t="inlineStr">
        <is>
          <t>NR</t>
        </is>
      </c>
      <c r="C131" s="117" t="n">
        <v>0.04915183026184869</v>
      </c>
      <c r="D131" s="117">
        <f>$B$1+E131</f>
        <v/>
      </c>
      <c r="E131" s="489" t="n">
        <v>0.074876823349771</v>
      </c>
      <c r="F131" s="490" t="n">
        <v>0.2652654754337485</v>
      </c>
    </row>
    <row r="132" ht="16" customHeight="1">
      <c r="A132" s="475" t="inlineStr">
        <is>
          <t>New Zealand</t>
        </is>
      </c>
      <c r="B132" s="479" t="inlineStr">
        <is>
          <t>Aaa</t>
        </is>
      </c>
      <c r="C132" s="117" t="n">
        <v>0</v>
      </c>
      <c r="D132" s="117">
        <f>$B$1+E132</f>
        <v/>
      </c>
      <c r="E132" s="489" t="n">
        <v>0</v>
      </c>
      <c r="F132" s="490" t="n">
        <v>0.28</v>
      </c>
    </row>
    <row r="133" ht="16" customHeight="1">
      <c r="A133" s="475" t="inlineStr">
        <is>
          <t>Nicaragua</t>
        </is>
      </c>
      <c r="B133" s="479" t="inlineStr">
        <is>
          <t>B2</t>
        </is>
      </c>
      <c r="C133" s="117" t="n">
        <v>0.0467</v>
      </c>
      <c r="D133" s="117">
        <f>$B$1+E133</f>
        <v/>
      </c>
      <c r="E133" s="489" t="n">
        <v>0.0712</v>
      </c>
      <c r="F133" s="490" t="n">
        <v>0.3</v>
      </c>
    </row>
    <row r="134" ht="16" customHeight="1">
      <c r="A134" s="475" t="inlineStr">
        <is>
          <t>Niger</t>
        </is>
      </c>
      <c r="B134" s="479" t="inlineStr">
        <is>
          <t>Caa3</t>
        </is>
      </c>
      <c r="C134" s="117" t="n">
        <v>0.08500000000000001</v>
      </c>
      <c r="D134" s="117">
        <f>$B$1+E134</f>
        <v/>
      </c>
      <c r="E134" s="489" t="n">
        <v>0.1295</v>
      </c>
      <c r="F134" s="490" t="n">
        <v>0.3</v>
      </c>
    </row>
    <row r="135" ht="16" customHeight="1">
      <c r="A135" s="475" t="inlineStr">
        <is>
          <t>Nigeria</t>
        </is>
      </c>
      <c r="B135" s="479" t="inlineStr">
        <is>
          <t>B3</t>
        </is>
      </c>
      <c r="C135" s="117" t="n">
        <v>0.0552</v>
      </c>
      <c r="D135" s="117">
        <f>$B$1+E135</f>
        <v/>
      </c>
      <c r="E135" s="489" t="n">
        <v>0.08409999999999999</v>
      </c>
      <c r="F135" s="490" t="n">
        <v>0.3</v>
      </c>
    </row>
    <row r="136" ht="16" customHeight="1">
      <c r="A136" s="475" t="inlineStr">
        <is>
          <t>Norway</t>
        </is>
      </c>
      <c r="B136" s="479" t="inlineStr">
        <is>
          <t>Aaa</t>
        </is>
      </c>
      <c r="C136" s="117" t="n">
        <v>0</v>
      </c>
      <c r="D136" s="117">
        <f>$B$1+E136</f>
        <v/>
      </c>
      <c r="E136" s="489" t="n">
        <v>0</v>
      </c>
      <c r="F136" s="490" t="n">
        <v>0.22</v>
      </c>
    </row>
    <row r="137" ht="16" customHeight="1">
      <c r="A137" s="475" t="inlineStr">
        <is>
          <t>Oman</t>
        </is>
      </c>
      <c r="B137" s="479" t="inlineStr">
        <is>
          <t>Baa3</t>
        </is>
      </c>
      <c r="C137" s="117" t="n">
        <v>0.0187</v>
      </c>
      <c r="D137" s="117">
        <f>$B$1+E137</f>
        <v/>
      </c>
      <c r="E137" s="489" t="n">
        <v>0.0285</v>
      </c>
      <c r="F137" s="490" t="n">
        <v>0.15</v>
      </c>
    </row>
    <row r="138" ht="16" customHeight="1">
      <c r="A138" s="475" t="inlineStr">
        <is>
          <t>Pakistan</t>
        </is>
      </c>
      <c r="B138" s="479" t="inlineStr">
        <is>
          <t>Caa1</t>
        </is>
      </c>
      <c r="C138" s="117" t="n">
        <v>0.06370000000000001</v>
      </c>
      <c r="D138" s="117">
        <f>$B$1+E138</f>
        <v/>
      </c>
      <c r="E138" s="489" t="n">
        <v>0.09710000000000001</v>
      </c>
      <c r="F138" s="490" t="n">
        <v>0.29</v>
      </c>
    </row>
    <row r="139" ht="16" customHeight="1">
      <c r="A139" s="475" t="inlineStr">
        <is>
          <t>Palestinian Authority</t>
        </is>
      </c>
      <c r="B139" s="479" t="inlineStr">
        <is>
          <t>NR</t>
        </is>
      </c>
      <c r="C139" s="117" t="n">
        <v>0.01317260894535964</v>
      </c>
      <c r="D139" s="117">
        <f>$B$1+E139</f>
        <v/>
      </c>
      <c r="E139" s="489" t="n">
        <v>0.0200668644036819</v>
      </c>
      <c r="F139" s="490" t="n">
        <v>0.1612022550597852</v>
      </c>
    </row>
    <row r="140" ht="16" customHeight="1">
      <c r="A140" s="475" t="inlineStr">
        <is>
          <t>Panama</t>
        </is>
      </c>
      <c r="B140" s="479" t="inlineStr">
        <is>
          <t>Baa3</t>
        </is>
      </c>
      <c r="C140" s="117" t="n">
        <v>0.0187</v>
      </c>
      <c r="D140" s="117">
        <f>$B$1+E140</f>
        <v/>
      </c>
      <c r="E140" s="489" t="n">
        <v>0.0285</v>
      </c>
      <c r="F140" s="490" t="n">
        <v>0.25</v>
      </c>
    </row>
    <row r="141" ht="16" customHeight="1">
      <c r="A141" s="475" t="inlineStr">
        <is>
          <t>Papua New Guinea</t>
        </is>
      </c>
      <c r="B141" s="479" t="inlineStr">
        <is>
          <t>B2</t>
        </is>
      </c>
      <c r="C141" s="117" t="n">
        <v>0.0467</v>
      </c>
      <c r="D141" s="117">
        <f>$B$1+E141</f>
        <v/>
      </c>
      <c r="E141" s="489" t="n">
        <v>0.0712</v>
      </c>
      <c r="F141" s="490" t="n">
        <v>0.3</v>
      </c>
    </row>
    <row r="142" ht="16" customHeight="1">
      <c r="A142" s="475" t="inlineStr">
        <is>
          <t>Paraguay</t>
        </is>
      </c>
      <c r="B142" s="479" t="inlineStr">
        <is>
          <t>Baa3</t>
        </is>
      </c>
      <c r="C142" s="117" t="n">
        <v>0.0187</v>
      </c>
      <c r="D142" s="117">
        <f>$B$1+E142</f>
        <v/>
      </c>
      <c r="E142" s="489" t="n">
        <v>0.0285</v>
      </c>
      <c r="F142" s="490" t="n">
        <v>0.1</v>
      </c>
    </row>
    <row r="143" ht="16" customHeight="1">
      <c r="A143" s="475" t="inlineStr">
        <is>
          <t>Peru</t>
        </is>
      </c>
      <c r="B143" s="479" t="inlineStr">
        <is>
          <t>Baa1</t>
        </is>
      </c>
      <c r="C143" s="117" t="n">
        <v>0.0136</v>
      </c>
      <c r="D143" s="117">
        <f>$B$1+E143</f>
        <v/>
      </c>
      <c r="E143" s="489" t="n">
        <v>0.0207</v>
      </c>
      <c r="F143" s="490" t="n">
        <v>0.295</v>
      </c>
    </row>
    <row r="144" ht="16" customHeight="1">
      <c r="A144" s="475" t="inlineStr">
        <is>
          <t>Philippines</t>
        </is>
      </c>
      <c r="B144" s="479" t="inlineStr">
        <is>
          <t>Baa2</t>
        </is>
      </c>
      <c r="C144" s="117" t="n">
        <v>0.0162</v>
      </c>
      <c r="D144" s="117">
        <f>$B$1+E144</f>
        <v/>
      </c>
      <c r="E144" s="489" t="n">
        <v>0.0246</v>
      </c>
      <c r="F144" s="490" t="n">
        <v>0.25</v>
      </c>
    </row>
    <row r="145" ht="16" customHeight="1">
      <c r="A145" s="475" t="inlineStr">
        <is>
          <t>Poland</t>
        </is>
      </c>
      <c r="B145" s="479" t="inlineStr">
        <is>
          <t>A2</t>
        </is>
      </c>
      <c r="C145" s="117" t="n">
        <v>0.0072</v>
      </c>
      <c r="D145" s="117">
        <f>$B$1+E145</f>
        <v/>
      </c>
      <c r="E145" s="489" t="n">
        <v>0.011</v>
      </c>
      <c r="F145" s="490" t="n">
        <v>0.19</v>
      </c>
    </row>
    <row r="146" ht="16" customHeight="1">
      <c r="A146" s="475" t="inlineStr">
        <is>
          <t>Portugal</t>
        </is>
      </c>
      <c r="B146" s="479" t="inlineStr">
        <is>
          <t>A3</t>
        </is>
      </c>
      <c r="C146" s="117" t="n">
        <v>0.0102</v>
      </c>
      <c r="D146" s="117">
        <f>$B$1+E146</f>
        <v/>
      </c>
      <c r="E146" s="489" t="n">
        <v>0.0155</v>
      </c>
      <c r="F146" s="490" t="n">
        <v>0.315</v>
      </c>
    </row>
    <row r="147" ht="16" customHeight="1">
      <c r="A147" s="475" t="inlineStr">
        <is>
          <t>Qatar</t>
        </is>
      </c>
      <c r="B147" s="479" t="inlineStr">
        <is>
          <t>Aa2</t>
        </is>
      </c>
      <c r="C147" s="117" t="n">
        <v>0.0042</v>
      </c>
      <c r="D147" s="117">
        <f>$B$1+E147</f>
        <v/>
      </c>
      <c r="E147" s="489" t="n">
        <v>0.0064</v>
      </c>
      <c r="F147" s="490" t="n">
        <v>0.1</v>
      </c>
    </row>
    <row r="148" ht="16" customHeight="1">
      <c r="A148" s="475" t="inlineStr">
        <is>
          <t>Ras Al Khaimah (Emirate of)</t>
        </is>
      </c>
      <c r="B148" s="479" t="inlineStr">
        <is>
          <t>A3</t>
        </is>
      </c>
      <c r="C148" s="117" t="n">
        <v>0.0102</v>
      </c>
      <c r="D148" s="117">
        <f>$B$1+E148</f>
        <v/>
      </c>
      <c r="E148" s="489" t="n">
        <v>0.0155</v>
      </c>
      <c r="F148" s="490" t="n">
        <v>0.1894</v>
      </c>
    </row>
    <row r="149" ht="16" customHeight="1">
      <c r="A149" s="475" t="inlineStr">
        <is>
          <t>Reunion</t>
        </is>
      </c>
      <c r="B149" s="479" t="inlineStr">
        <is>
          <t>NR</t>
        </is>
      </c>
      <c r="C149" s="117" t="n">
        <v>0.05067230446817149</v>
      </c>
      <c r="D149" s="117">
        <f>$B$1+E149</f>
        <v/>
      </c>
      <c r="E149" s="489" t="n">
        <v>0.07719308050536838</v>
      </c>
      <c r="F149" s="490" t="n">
        <v>0.273901739052763</v>
      </c>
    </row>
    <row r="150" ht="16" customHeight="1">
      <c r="A150" s="475" t="inlineStr">
        <is>
          <t>Romania</t>
        </is>
      </c>
      <c r="B150" s="479" t="inlineStr">
        <is>
          <t>Baa3</t>
        </is>
      </c>
      <c r="C150" s="117" t="n">
        <v>0.0187</v>
      </c>
      <c r="D150" s="117">
        <f>$B$1+E150</f>
        <v/>
      </c>
      <c r="E150" s="489" t="n">
        <v>0.0285</v>
      </c>
      <c r="F150" s="490" t="n">
        <v>0.16</v>
      </c>
    </row>
    <row r="151" ht="16" customHeight="1">
      <c r="A151" s="475" t="inlineStr">
        <is>
          <t>Russia</t>
        </is>
      </c>
      <c r="B151" s="479" t="inlineStr">
        <is>
          <t>NR</t>
        </is>
      </c>
      <c r="C151" s="117" t="n">
        <v>0.0256</v>
      </c>
      <c r="D151" s="117">
        <f>$B$1+E151</f>
        <v/>
      </c>
      <c r="E151" s="489" t="n">
        <v>0.039</v>
      </c>
      <c r="F151" s="490" t="n">
        <v>0.0814</v>
      </c>
    </row>
    <row r="152" ht="16" customHeight="1">
      <c r="A152" s="475" t="inlineStr">
        <is>
          <t>Rwanda</t>
        </is>
      </c>
      <c r="B152" s="479" t="inlineStr">
        <is>
          <t>B2</t>
        </is>
      </c>
      <c r="C152" s="117" t="n">
        <v>0.0467</v>
      </c>
      <c r="D152" s="117">
        <f>$B$1+E152</f>
        <v/>
      </c>
      <c r="E152" s="489" t="n">
        <v>0.0712</v>
      </c>
      <c r="F152" s="490" t="n">
        <v>0.28</v>
      </c>
    </row>
    <row r="153" ht="16" customHeight="1">
      <c r="A153" s="475" t="inlineStr">
        <is>
          <t>Saint Lucia</t>
        </is>
      </c>
      <c r="B153" s="479" t="inlineStr">
        <is>
          <t>NR</t>
        </is>
      </c>
      <c r="C153" s="117" t="n">
        <v>0.04915183026184869</v>
      </c>
      <c r="D153" s="117">
        <f>$B$1+E153</f>
        <v/>
      </c>
      <c r="E153" s="489" t="n">
        <v>0.074876823349771</v>
      </c>
      <c r="F153" s="490" t="n">
        <v>0.2652654754337485</v>
      </c>
    </row>
    <row r="154" ht="16" customHeight="1">
      <c r="A154" s="475" t="inlineStr">
        <is>
          <t>Saudi Arabia</t>
        </is>
      </c>
      <c r="B154" s="479" t="inlineStr">
        <is>
          <t>Aa3</t>
        </is>
      </c>
      <c r="C154" s="117" t="n">
        <v>0.0051</v>
      </c>
      <c r="D154" s="117">
        <f>$B$1+E154</f>
        <v/>
      </c>
      <c r="E154" s="489" t="n">
        <v>0.0078</v>
      </c>
      <c r="F154" s="490" t="n">
        <v>0.2</v>
      </c>
    </row>
    <row r="155" ht="16" customHeight="1">
      <c r="A155" s="475" t="inlineStr">
        <is>
          <t>Senegal</t>
        </is>
      </c>
      <c r="B155" s="479" t="inlineStr">
        <is>
          <t>Caa1</t>
        </is>
      </c>
      <c r="C155" s="117" t="n">
        <v>0.06370000000000001</v>
      </c>
      <c r="D155" s="117">
        <f>$B$1+E155</f>
        <v/>
      </c>
      <c r="E155" s="489" t="n">
        <v>0.09710000000000001</v>
      </c>
      <c r="F155" s="490" t="n">
        <v>0.3</v>
      </c>
    </row>
    <row r="156" ht="16" customHeight="1">
      <c r="A156" s="475" t="inlineStr">
        <is>
          <t>Serbia</t>
        </is>
      </c>
      <c r="B156" s="479" t="inlineStr">
        <is>
          <t>Ba2</t>
        </is>
      </c>
      <c r="C156" s="117" t="n">
        <v>0.0256</v>
      </c>
      <c r="D156" s="117">
        <f>$B$1+E156</f>
        <v/>
      </c>
      <c r="E156" s="489" t="n">
        <v>0.039</v>
      </c>
      <c r="F156" s="490" t="n">
        <v>0.15</v>
      </c>
    </row>
    <row r="157" ht="16" customHeight="1">
      <c r="A157" s="475" t="inlineStr">
        <is>
          <t>Sharjah</t>
        </is>
      </c>
      <c r="B157" s="479" t="inlineStr">
        <is>
          <t>Ba1</t>
        </is>
      </c>
      <c r="C157" s="117" t="n">
        <v>0.0213</v>
      </c>
      <c r="D157" s="117">
        <f>$B$1+E157</f>
        <v/>
      </c>
      <c r="E157" s="489" t="n">
        <v>0.0324</v>
      </c>
      <c r="F157" s="490" t="n">
        <v>0.1894</v>
      </c>
    </row>
    <row r="158" ht="16" customHeight="1">
      <c r="A158" s="486" t="inlineStr">
        <is>
          <t>Sierra Leone</t>
        </is>
      </c>
      <c r="B158" s="479" t="inlineStr">
        <is>
          <t>NR</t>
        </is>
      </c>
      <c r="C158" s="117" t="n">
        <v>0.0552</v>
      </c>
      <c r="D158" s="117">
        <f>$B$1+E158</f>
        <v/>
      </c>
      <c r="E158" s="489" t="n">
        <v>0.08409999999999999</v>
      </c>
      <c r="F158" s="490" t="n">
        <v>0.1265</v>
      </c>
    </row>
    <row r="159" ht="16" customHeight="1">
      <c r="A159" s="475" t="inlineStr">
        <is>
          <t>Singapore</t>
        </is>
      </c>
      <c r="B159" s="479" t="inlineStr">
        <is>
          <t>Aaa</t>
        </is>
      </c>
      <c r="C159" s="117" t="n">
        <v>0</v>
      </c>
      <c r="D159" s="117">
        <f>$B$1+E159</f>
        <v/>
      </c>
      <c r="E159" s="489" t="n">
        <v>0</v>
      </c>
      <c r="F159" s="490" t="n">
        <v>0.17</v>
      </c>
    </row>
    <row r="160" ht="16" customHeight="1">
      <c r="A160" s="475" t="inlineStr">
        <is>
          <t>Slovakia</t>
        </is>
      </c>
      <c r="B160" s="479" t="inlineStr">
        <is>
          <t>A3</t>
        </is>
      </c>
      <c r="C160" s="117" t="n">
        <v>0.0102</v>
      </c>
      <c r="D160" s="117">
        <f>$B$1+E160</f>
        <v/>
      </c>
      <c r="E160" s="489" t="n">
        <v>0.0155</v>
      </c>
      <c r="F160" s="490" t="n">
        <v>0.21</v>
      </c>
    </row>
    <row r="161" ht="16" customHeight="1">
      <c r="A161" s="475" t="inlineStr">
        <is>
          <t>Slovenia</t>
        </is>
      </c>
      <c r="B161" s="479" t="inlineStr">
        <is>
          <t>A3</t>
        </is>
      </c>
      <c r="C161" s="117" t="n">
        <v>0.0102</v>
      </c>
      <c r="D161" s="117">
        <f>$B$1+E161</f>
        <v/>
      </c>
      <c r="E161" s="489" t="n">
        <v>0.0155</v>
      </c>
      <c r="F161" s="490" t="n">
        <v>0.22</v>
      </c>
    </row>
    <row r="162" ht="16" customHeight="1">
      <c r="A162" s="475" t="inlineStr">
        <is>
          <t>Solomon Islands</t>
        </is>
      </c>
      <c r="B162" s="479" t="inlineStr">
        <is>
          <t>Caa1</t>
        </is>
      </c>
      <c r="C162" s="117" t="n">
        <v>0.06370000000000001</v>
      </c>
      <c r="D162" s="117">
        <f>$B$1+E162</f>
        <v/>
      </c>
      <c r="E162" s="489" t="n">
        <v>0.09710000000000001</v>
      </c>
      <c r="F162" s="490" t="n">
        <v>0.3</v>
      </c>
    </row>
    <row r="163" ht="16" customHeight="1">
      <c r="A163" s="487" t="inlineStr">
        <is>
          <t>Somalia</t>
        </is>
      </c>
      <c r="B163" s="479" t="inlineStr">
        <is>
          <t>NR</t>
        </is>
      </c>
      <c r="C163" s="117" t="n">
        <v>0.08500000000000001</v>
      </c>
      <c r="D163" s="117">
        <f>$B$1+E163</f>
        <v/>
      </c>
      <c r="E163" s="489" t="n">
        <v>0.1295</v>
      </c>
      <c r="F163" s="490" t="n">
        <v>0.1719</v>
      </c>
    </row>
    <row r="164" ht="16" customHeight="1">
      <c r="A164" s="475" t="inlineStr">
        <is>
          <t>South Africa</t>
        </is>
      </c>
      <c r="B164" s="479" t="inlineStr">
        <is>
          <t>Ba2</t>
        </is>
      </c>
      <c r="C164" s="123" t="n">
        <v>0.0256</v>
      </c>
      <c r="D164" s="117">
        <f>$B$1+E164</f>
        <v/>
      </c>
      <c r="E164" s="489" t="n">
        <v>0.039</v>
      </c>
      <c r="F164" s="490" t="n">
        <v>0.27</v>
      </c>
    </row>
    <row r="165" ht="16" customHeight="1">
      <c r="A165" s="475" t="inlineStr">
        <is>
          <t>South Korea</t>
        </is>
      </c>
      <c r="B165" s="479" t="inlineStr">
        <is>
          <t>Aa2</t>
        </is>
      </c>
      <c r="C165" s="117" t="n">
        <v>0.0042</v>
      </c>
      <c r="D165" s="117">
        <f>$B$1+E165</f>
        <v/>
      </c>
      <c r="E165" s="489" t="n">
        <v>0.0064</v>
      </c>
      <c r="F165" s="490" t="n">
        <v>0.264</v>
      </c>
    </row>
    <row r="166" ht="16" customHeight="1">
      <c r="A166" s="475" t="inlineStr">
        <is>
          <t>Spain</t>
        </is>
      </c>
      <c r="B166" s="479" t="inlineStr">
        <is>
          <t>A3</t>
        </is>
      </c>
      <c r="C166" s="117" t="n">
        <v>0.0102</v>
      </c>
      <c r="D166" s="117">
        <f>$B$1+E166</f>
        <v/>
      </c>
      <c r="E166" s="489" t="n">
        <v>0.0155</v>
      </c>
      <c r="F166" s="490" t="n">
        <v>0.25</v>
      </c>
    </row>
    <row r="167" ht="16" customHeight="1">
      <c r="A167" s="475" t="inlineStr">
        <is>
          <t>Sri Lanka</t>
        </is>
      </c>
      <c r="B167" s="479" t="inlineStr">
        <is>
          <t>Ca</t>
        </is>
      </c>
      <c r="C167" s="117" t="n">
        <v>0.102</v>
      </c>
      <c r="D167" s="117">
        <f>$B$1+E167</f>
        <v/>
      </c>
      <c r="E167" s="489" t="n">
        <v>0.1554</v>
      </c>
      <c r="F167" s="490" t="n">
        <v>0.3</v>
      </c>
    </row>
    <row r="168" ht="16" customHeight="1">
      <c r="A168" s="475" t="inlineStr">
        <is>
          <t>St. Maarten</t>
        </is>
      </c>
      <c r="B168" s="479" t="inlineStr">
        <is>
          <t>Ba2</t>
        </is>
      </c>
      <c r="C168" s="117" t="n">
        <v>0.0256</v>
      </c>
      <c r="D168" s="117">
        <f>$B$1+E168</f>
        <v/>
      </c>
      <c r="E168" s="489" t="n">
        <v>0.039</v>
      </c>
      <c r="F168" s="490" t="n">
        <v>0.2</v>
      </c>
    </row>
    <row r="169" ht="16" customHeight="1">
      <c r="A169" s="475" t="inlineStr">
        <is>
          <t>St. Vincent &amp; the Grenadines</t>
        </is>
      </c>
      <c r="B169" s="479" t="inlineStr">
        <is>
          <t>B3</t>
        </is>
      </c>
      <c r="C169" s="117" t="n">
        <v>0.0552</v>
      </c>
      <c r="D169" s="117">
        <f>$B$1+E169</f>
        <v/>
      </c>
      <c r="E169" s="489" t="n">
        <v>0.08409999999999999</v>
      </c>
      <c r="F169" s="490" t="n">
        <v>0.28</v>
      </c>
    </row>
    <row r="170" ht="16" customHeight="1">
      <c r="A170" s="486" t="inlineStr">
        <is>
          <t>Sudan</t>
        </is>
      </c>
      <c r="B170" s="479" t="inlineStr">
        <is>
          <t>NR</t>
        </is>
      </c>
      <c r="C170" s="117" t="n">
        <v>0.175</v>
      </c>
      <c r="D170" s="117">
        <f>$B$1+E170</f>
        <v/>
      </c>
      <c r="E170" s="489" t="n">
        <v>0.2666</v>
      </c>
      <c r="F170" s="490" t="n">
        <v>0.309</v>
      </c>
    </row>
    <row r="171" ht="16" customHeight="1">
      <c r="A171" s="475" t="inlineStr">
        <is>
          <t>Suriname</t>
        </is>
      </c>
      <c r="B171" s="479" t="inlineStr">
        <is>
          <t>Caa1</t>
        </is>
      </c>
      <c r="C171" s="117" t="n">
        <v>0.06370000000000001</v>
      </c>
      <c r="D171" s="117">
        <f>$B$1+E171</f>
        <v/>
      </c>
      <c r="E171" s="489" t="n">
        <v>0.09710000000000001</v>
      </c>
      <c r="F171" s="490" t="n">
        <v>0.36</v>
      </c>
    </row>
    <row r="172" ht="16" customHeight="1">
      <c r="A172" s="475" t="inlineStr">
        <is>
          <t>Swaziland</t>
        </is>
      </c>
      <c r="B172" s="479" t="inlineStr">
        <is>
          <t>B2</t>
        </is>
      </c>
      <c r="C172" s="117" t="n">
        <v>0.0467</v>
      </c>
      <c r="D172" s="117">
        <f>$B$1+E172</f>
        <v/>
      </c>
      <c r="E172" s="489" t="n">
        <v>0.0712</v>
      </c>
      <c r="F172" s="490" t="n">
        <v>0.25</v>
      </c>
    </row>
    <row r="173" ht="16" customHeight="1">
      <c r="A173" s="475" t="inlineStr">
        <is>
          <t>Sweden</t>
        </is>
      </c>
      <c r="B173" s="479" t="inlineStr">
        <is>
          <t>Aaa</t>
        </is>
      </c>
      <c r="C173" s="117" t="n">
        <v>0</v>
      </c>
      <c r="D173" s="117">
        <f>$B$1+E173</f>
        <v/>
      </c>
      <c r="E173" s="489" t="n">
        <v>0</v>
      </c>
      <c r="F173" s="490" t="n">
        <v>0.206</v>
      </c>
    </row>
    <row r="174" ht="16" customHeight="1">
      <c r="A174" s="475" t="inlineStr">
        <is>
          <t>Switzerland</t>
        </is>
      </c>
      <c r="B174" s="479" t="inlineStr">
        <is>
          <t>Aaa</t>
        </is>
      </c>
      <c r="C174" s="117" t="n">
        <v>0</v>
      </c>
      <c r="D174" s="117">
        <f>$B$1+E174</f>
        <v/>
      </c>
      <c r="E174" s="489" t="n">
        <v>0</v>
      </c>
      <c r="F174" s="490" t="n">
        <v>0.1961</v>
      </c>
    </row>
    <row r="175" ht="16" customHeight="1">
      <c r="A175" s="487" t="inlineStr">
        <is>
          <t>Syria</t>
        </is>
      </c>
      <c r="B175" s="479" t="inlineStr">
        <is>
          <t>NR</t>
        </is>
      </c>
      <c r="C175" s="117" t="n">
        <v>0.102</v>
      </c>
      <c r="D175" s="117">
        <f>$B$1+E175</f>
        <v/>
      </c>
      <c r="E175" s="489" t="n">
        <v>0.1554</v>
      </c>
      <c r="F175" s="490" t="n">
        <v>0.1978</v>
      </c>
    </row>
    <row r="176" ht="16" customHeight="1">
      <c r="A176" s="475" t="inlineStr">
        <is>
          <t>Taiwan</t>
        </is>
      </c>
      <c r="B176" s="479" t="inlineStr">
        <is>
          <t>Aa3</t>
        </is>
      </c>
      <c r="C176" s="117" t="n">
        <v>0.0051</v>
      </c>
      <c r="D176" s="117">
        <f>$B$1+E176</f>
        <v/>
      </c>
      <c r="E176" s="489" t="n">
        <v>0.0078</v>
      </c>
      <c r="F176" s="490" t="n">
        <v>0.2</v>
      </c>
    </row>
    <row r="177" ht="16" customHeight="1">
      <c r="A177" s="475" t="inlineStr">
        <is>
          <t>Tajikistan</t>
        </is>
      </c>
      <c r="B177" s="479" t="inlineStr">
        <is>
          <t>B3</t>
        </is>
      </c>
      <c r="C177" s="117" t="n">
        <v>0.0552</v>
      </c>
      <c r="D177" s="117">
        <f>$B$1+E177</f>
        <v/>
      </c>
      <c r="E177" s="489" t="n">
        <v>0.08409999999999999</v>
      </c>
      <c r="F177" s="490" t="n">
        <v>0.18</v>
      </c>
    </row>
    <row r="178" ht="16" customHeight="1">
      <c r="A178" s="475" t="inlineStr">
        <is>
          <t>Tanzania</t>
        </is>
      </c>
      <c r="B178" s="479" t="inlineStr">
        <is>
          <t>B1</t>
        </is>
      </c>
      <c r="C178" s="117" t="n">
        <v>0.0383</v>
      </c>
      <c r="D178" s="117">
        <f>$B$1+E178</f>
        <v/>
      </c>
      <c r="E178" s="489" t="n">
        <v>0.0583</v>
      </c>
      <c r="F178" s="490" t="n">
        <v>0.3</v>
      </c>
    </row>
    <row r="179" ht="16" customHeight="1">
      <c r="A179" s="475" t="inlineStr">
        <is>
          <t>Thailand</t>
        </is>
      </c>
      <c r="B179" s="479" t="inlineStr">
        <is>
          <t>Baa1</t>
        </is>
      </c>
      <c r="C179" s="117" t="n">
        <v>0.0136</v>
      </c>
      <c r="D179" s="117">
        <f>$B$1+E179</f>
        <v/>
      </c>
      <c r="E179" s="489" t="n">
        <v>0.0207</v>
      </c>
      <c r="F179" s="490" t="n">
        <v>0.2</v>
      </c>
    </row>
    <row r="180" ht="16" customHeight="1">
      <c r="A180" s="475" t="inlineStr">
        <is>
          <t>Togo</t>
        </is>
      </c>
      <c r="B180" s="479" t="inlineStr">
        <is>
          <t>B3</t>
        </is>
      </c>
      <c r="C180" s="117" t="n">
        <v>0.0552</v>
      </c>
      <c r="D180" s="117">
        <f>$B$1+E180</f>
        <v/>
      </c>
      <c r="E180" s="489" t="n">
        <v>0.08409999999999999</v>
      </c>
      <c r="F180" s="490" t="n">
        <v>0.27</v>
      </c>
    </row>
    <row r="181" ht="16" customHeight="1">
      <c r="A181" s="475" t="inlineStr">
        <is>
          <t>Trinidad &amp;' Tobago</t>
        </is>
      </c>
      <c r="B181" s="479" t="inlineStr">
        <is>
          <t>Ba2</t>
        </is>
      </c>
      <c r="C181" s="117" t="n">
        <v>0.0256</v>
      </c>
      <c r="D181" s="117">
        <f>$B$1+E181</f>
        <v/>
      </c>
      <c r="E181" s="489" t="n">
        <v>0.039</v>
      </c>
      <c r="F181" s="490" t="n">
        <v>0.3</v>
      </c>
    </row>
    <row r="182" ht="16" customHeight="1">
      <c r="A182" s="475" t="inlineStr">
        <is>
          <t>Tunisia</t>
        </is>
      </c>
      <c r="B182" s="479" t="inlineStr">
        <is>
          <t>Caa1</t>
        </is>
      </c>
      <c r="C182" s="117" t="n">
        <v>0.06370000000000001</v>
      </c>
      <c r="D182" s="117">
        <f>$B$1+E182</f>
        <v/>
      </c>
      <c r="E182" s="489" t="n">
        <v>0.09710000000000001</v>
      </c>
      <c r="F182" s="490" t="n">
        <v>0.15</v>
      </c>
    </row>
    <row r="183" ht="16" customHeight="1">
      <c r="A183" s="475" t="inlineStr">
        <is>
          <t>Turkey</t>
        </is>
      </c>
      <c r="B183" s="479" t="inlineStr">
        <is>
          <t>Ba3</t>
        </is>
      </c>
      <c r="C183" s="117" t="n">
        <v>0.0306</v>
      </c>
      <c r="D183" s="117">
        <f>$B$1+E183</f>
        <v/>
      </c>
      <c r="E183" s="489" t="n">
        <v>0.0466</v>
      </c>
      <c r="F183" s="490" t="n">
        <v>0.25</v>
      </c>
    </row>
    <row r="184" ht="16" customHeight="1">
      <c r="A184" s="476" t="inlineStr">
        <is>
          <t>Turks &amp; Caicos Islands</t>
        </is>
      </c>
      <c r="B184" s="479" t="inlineStr">
        <is>
          <t>NR</t>
        </is>
      </c>
      <c r="C184" s="117" t="n">
        <v>0.04915183026184869</v>
      </c>
      <c r="D184" s="117">
        <f>$B$1+E184</f>
        <v/>
      </c>
      <c r="E184" s="489" t="n">
        <v>0.074876823349771</v>
      </c>
      <c r="F184" s="490" t="n">
        <v>0.2652654754337485</v>
      </c>
    </row>
    <row r="185" ht="16" customHeight="1">
      <c r="A185" s="475" t="inlineStr">
        <is>
          <t>Uganda</t>
        </is>
      </c>
      <c r="B185" s="479" t="inlineStr">
        <is>
          <t>B3</t>
        </is>
      </c>
      <c r="C185" s="117" t="n">
        <v>0.0552</v>
      </c>
      <c r="D185" s="117">
        <f>$B$1+E185</f>
        <v/>
      </c>
      <c r="E185" s="489" t="n">
        <v>0.08409999999999999</v>
      </c>
      <c r="F185" s="490" t="n">
        <v>0.3</v>
      </c>
    </row>
    <row r="186" ht="16" customHeight="1">
      <c r="A186" s="475" t="inlineStr">
        <is>
          <t>Ukraine</t>
        </is>
      </c>
      <c r="B186" s="479" t="inlineStr">
        <is>
          <t>Ca</t>
        </is>
      </c>
      <c r="C186" s="117" t="n">
        <v>0.102</v>
      </c>
      <c r="D186" s="117">
        <f>$B$1+E186</f>
        <v/>
      </c>
      <c r="E186" s="489" t="n">
        <v>0.1554</v>
      </c>
      <c r="F186" s="490" t="n">
        <v>0.18</v>
      </c>
    </row>
    <row r="187" ht="16" customHeight="1">
      <c r="A187" s="475" t="inlineStr">
        <is>
          <t>United Arab Emirates</t>
        </is>
      </c>
      <c r="B187" s="479" t="inlineStr">
        <is>
          <t>Aa2</t>
        </is>
      </c>
      <c r="C187" s="117" t="n">
        <v>0.0042</v>
      </c>
      <c r="D187" s="117">
        <f>$B$1+E187</f>
        <v/>
      </c>
      <c r="E187" s="489" t="n">
        <v>0.0064</v>
      </c>
      <c r="F187" s="490" t="n">
        <v>0.09</v>
      </c>
    </row>
    <row r="188" ht="16" customHeight="1">
      <c r="A188" s="475" t="inlineStr">
        <is>
          <t>United Kingdom</t>
        </is>
      </c>
      <c r="B188" s="479" t="inlineStr">
        <is>
          <t>Aa3</t>
        </is>
      </c>
      <c r="C188" s="117" t="n">
        <v>0.0051</v>
      </c>
      <c r="D188" s="117">
        <f>$B$1+E188</f>
        <v/>
      </c>
      <c r="E188" s="489" t="n">
        <v>0.0078</v>
      </c>
      <c r="F188" s="490" t="n">
        <v>0.25</v>
      </c>
    </row>
    <row r="189" ht="16" customHeight="1">
      <c r="A189" s="475" t="inlineStr">
        <is>
          <t>United States</t>
        </is>
      </c>
      <c r="B189" s="479" t="inlineStr">
        <is>
          <t>Aa1</t>
        </is>
      </c>
      <c r="C189" s="117" t="n">
        <v>0.0023</v>
      </c>
      <c r="D189" s="117">
        <f>$B$1+E189</f>
        <v/>
      </c>
      <c r="E189" s="489" t="n">
        <v>0.0023</v>
      </c>
      <c r="F189" s="490" t="n">
        <v>0.25</v>
      </c>
    </row>
    <row r="190" ht="16" customHeight="1">
      <c r="A190" s="475" t="inlineStr">
        <is>
          <t>Uruguay</t>
        </is>
      </c>
      <c r="B190" s="479" t="inlineStr">
        <is>
          <t>Baa1</t>
        </is>
      </c>
      <c r="C190" s="117" t="n">
        <v>0.0136</v>
      </c>
      <c r="D190" s="117">
        <f>$B$1+E190</f>
        <v/>
      </c>
      <c r="E190" s="489" t="n">
        <v>0.0207</v>
      </c>
      <c r="F190" s="490" t="n">
        <v>0.25</v>
      </c>
    </row>
    <row r="191" ht="16" customHeight="1">
      <c r="A191" s="475" t="inlineStr">
        <is>
          <t>Uzbekistan</t>
        </is>
      </c>
      <c r="B191" s="479" t="inlineStr">
        <is>
          <t>Ba3</t>
        </is>
      </c>
      <c r="C191" s="117" t="n">
        <v>0.0306</v>
      </c>
      <c r="D191" s="117">
        <f>$B$1+E191</f>
        <v/>
      </c>
      <c r="E191" s="489" t="n">
        <v>0.0466</v>
      </c>
      <c r="F191" s="490" t="n">
        <v>0.15</v>
      </c>
    </row>
    <row r="192" ht="16" customHeight="1">
      <c r="A192" s="475" t="inlineStr">
        <is>
          <t>Venezuela</t>
        </is>
      </c>
      <c r="B192" s="479" t="inlineStr">
        <is>
          <t>C</t>
        </is>
      </c>
      <c r="C192" s="117" t="n">
        <v>0.175</v>
      </c>
      <c r="D192" s="117">
        <f>$B$1+E192</f>
        <v/>
      </c>
      <c r="E192" s="489" t="n">
        <v>0.2666</v>
      </c>
      <c r="F192" s="490" t="n">
        <v>0.34</v>
      </c>
    </row>
    <row r="193" ht="16" customHeight="1">
      <c r="A193" s="475" t="inlineStr">
        <is>
          <t>Vietnam</t>
        </is>
      </c>
      <c r="B193" s="479" t="inlineStr">
        <is>
          <t>Ba2</t>
        </is>
      </c>
      <c r="C193" s="117" t="n">
        <v>0.0256</v>
      </c>
      <c r="D193" s="117">
        <f>$B$1+E193</f>
        <v/>
      </c>
      <c r="E193" s="489" t="n">
        <v>0.039</v>
      </c>
      <c r="F193" s="490" t="n">
        <v>0.2</v>
      </c>
    </row>
    <row r="194" ht="16" customHeight="1">
      <c r="A194" s="486" t="inlineStr">
        <is>
          <t>Yemen</t>
        </is>
      </c>
      <c r="B194" s="479" t="inlineStr">
        <is>
          <t>NR</t>
        </is>
      </c>
      <c r="C194" s="117" t="n">
        <v>0.102</v>
      </c>
      <c r="D194" s="117">
        <f>$B$1+E194</f>
        <v/>
      </c>
      <c r="E194" s="489" t="n">
        <v>0.1554</v>
      </c>
      <c r="F194" s="490" t="n">
        <v>0.1978</v>
      </c>
    </row>
    <row r="195" ht="16" customHeight="1">
      <c r="A195" s="475" t="inlineStr">
        <is>
          <t>Zambia</t>
        </is>
      </c>
      <c r="B195" s="479" t="inlineStr">
        <is>
          <t>Caa2</t>
        </is>
      </c>
      <c r="C195" s="135" t="n">
        <v>0.0765</v>
      </c>
      <c r="D195" s="117">
        <f>$B$1+E195</f>
        <v/>
      </c>
      <c r="E195" s="489" t="n">
        <v>0.1166</v>
      </c>
      <c r="F195" s="490" t="n">
        <v>0.3</v>
      </c>
    </row>
    <row r="196" ht="16" customHeight="1">
      <c r="A196" s="487" t="inlineStr">
        <is>
          <t>Zimbabwe</t>
        </is>
      </c>
      <c r="B196" s="479" t="inlineStr">
        <is>
          <t>NR</t>
        </is>
      </c>
      <c r="C196" s="464" t="n">
        <v>0.0765</v>
      </c>
      <c r="D196" s="117">
        <f>$B$1+E196</f>
        <v/>
      </c>
      <c r="E196" s="489" t="n">
        <v>0.1166</v>
      </c>
      <c r="F196" s="490" t="n">
        <v>0.159</v>
      </c>
    </row>
    <row r="200">
      <c r="A200" s="491" t="inlineStr">
        <is>
          <t>Region</t>
        </is>
      </c>
      <c r="B200" s="465" t="inlineStr">
        <is>
          <t>ERP</t>
        </is>
      </c>
      <c r="C200" s="480" t="inlineStr">
        <is>
          <t>Weighted Average: Default Spread</t>
        </is>
      </c>
      <c r="D200" s="465" t="inlineStr">
        <is>
          <t>Tax Rate</t>
        </is>
      </c>
      <c r="E200" s="465" t="inlineStr">
        <is>
          <t>Weighted Average: CRP</t>
        </is>
      </c>
      <c r="F200" s="80" t="inlineStr">
        <is>
          <t>Total GDP (in $ millions)</t>
        </is>
      </c>
    </row>
    <row r="201">
      <c r="A201" s="1" t="inlineStr">
        <is>
          <t>Africa</t>
        </is>
      </c>
      <c r="B201" s="464">
        <f>$B$1+E201</f>
        <v/>
      </c>
      <c r="C201" s="464" t="n">
        <v>0.05067230446817149</v>
      </c>
      <c r="D201" s="464" t="n">
        <v>0.273901739052763</v>
      </c>
      <c r="E201" s="464" t="n">
        <v>0.07719308050536838</v>
      </c>
      <c r="F201" s="827" t="n">
        <v>2340875.22920722</v>
      </c>
    </row>
    <row r="202">
      <c r="A202" s="1" t="inlineStr">
        <is>
          <t>Asia</t>
        </is>
      </c>
      <c r="B202" s="464">
        <f>$B$1+E202</f>
        <v/>
      </c>
      <c r="C202" s="464" t="n">
        <v>0.009796146694470292</v>
      </c>
      <c r="D202" s="464" t="n">
        <v>0.256545347358525</v>
      </c>
      <c r="E202" s="464" t="n">
        <v>0.01492323564845226</v>
      </c>
      <c r="F202" s="827" t="n">
        <v>34731689.3748114</v>
      </c>
    </row>
    <row r="203">
      <c r="A203" s="1" t="inlineStr">
        <is>
          <t>Australia &amp; New Zealand</t>
        </is>
      </c>
      <c r="B203" s="464">
        <f>$B$1+E203</f>
        <v/>
      </c>
      <c r="C203" s="464" t="n">
        <v>2.679684784559755e-05</v>
      </c>
      <c r="D203" s="464" t="n">
        <v>0.2973522122737972</v>
      </c>
      <c r="E203" s="464" t="n">
        <v>4.082173200420781e-05</v>
      </c>
      <c r="F203" s="827" t="n">
        <v>2018608.836750448</v>
      </c>
    </row>
    <row r="204">
      <c r="A204" s="1" t="inlineStr">
        <is>
          <t>Caribbean</t>
        </is>
      </c>
      <c r="B204" s="464">
        <f>$B$1+E204</f>
        <v/>
      </c>
      <c r="C204" s="464" t="n">
        <v>0.04915183026184869</v>
      </c>
      <c r="D204" s="464" t="n">
        <v>0.2652654754337485</v>
      </c>
      <c r="E204" s="464" t="n">
        <v>0.074876823349771</v>
      </c>
      <c r="F204" s="827" t="n">
        <v>347814.1324698501</v>
      </c>
    </row>
    <row r="205">
      <c r="A205" s="1" t="inlineStr">
        <is>
          <t>Central and South America</t>
        </is>
      </c>
      <c r="B205" s="464">
        <f>$B$1+E205</f>
        <v/>
      </c>
      <c r="C205" s="464" t="n">
        <v>0.02778594186678078</v>
      </c>
      <c r="D205" s="464" t="n">
        <v>0.3154669136565696</v>
      </c>
      <c r="E205" s="464" t="n">
        <v>0.04232849620618983</v>
      </c>
      <c r="F205" s="827" t="n">
        <v>6538486.855845697</v>
      </c>
    </row>
    <row r="206">
      <c r="A206" s="1" t="inlineStr">
        <is>
          <t>Eastern Europe</t>
        </is>
      </c>
      <c r="B206" s="464">
        <f>$B$1+E206</f>
        <v/>
      </c>
      <c r="C206" s="464" t="n">
        <v>0.02197556228731735</v>
      </c>
      <c r="D206" s="464" t="n">
        <v>0.1763748002742693</v>
      </c>
      <c r="E206" s="464" t="n">
        <v>0.03347709101845075</v>
      </c>
      <c r="F206" s="827" t="n">
        <v>3491477.193139935</v>
      </c>
    </row>
    <row r="207">
      <c r="A207" s="1" t="inlineStr">
        <is>
          <t>Middle East</t>
        </is>
      </c>
      <c r="B207" s="464">
        <f>$B$1+E207</f>
        <v/>
      </c>
      <c r="C207" s="464" t="n">
        <v>0.01317260894535964</v>
      </c>
      <c r="D207" s="464" t="n">
        <v>0.1612022550597852</v>
      </c>
      <c r="E207" s="464" t="n">
        <v>0.0200668644036819</v>
      </c>
      <c r="F207" s="827" t="n">
        <v>3565018.312473313</v>
      </c>
    </row>
    <row r="208">
      <c r="A208" s="1" t="inlineStr">
        <is>
          <t>North America</t>
        </is>
      </c>
      <c r="B208" s="464">
        <f>$B$1+E208</f>
        <v/>
      </c>
      <c r="C208" s="464" t="n">
        <v>0.002164748784794041</v>
      </c>
      <c r="D208" s="464" t="n">
        <v>0.2508252232851971</v>
      </c>
      <c r="E208" s="464" t="n">
        <v>0.002164748784794041</v>
      </c>
      <c r="F208" s="827" t="n">
        <v>30994592.95736496</v>
      </c>
    </row>
    <row r="209">
      <c r="A209" s="1" t="inlineStr">
        <is>
          <t>Western Europe</t>
        </is>
      </c>
      <c r="B209" s="464">
        <f>$B$1+E209</f>
        <v/>
      </c>
      <c r="C209" s="464" t="n">
        <v>0.006804264459189996</v>
      </c>
      <c r="D209" s="464" t="n">
        <v>0.2555723115658393</v>
      </c>
      <c r="E209" s="464" t="n">
        <v>0.01036546767885774</v>
      </c>
      <c r="F209" s="827" t="n">
        <v>23561725.63514651</v>
      </c>
    </row>
    <row r="210">
      <c r="A210" s="1" t="inlineStr">
        <is>
          <t>Global</t>
        </is>
      </c>
      <c r="B210" s="464">
        <f>$B$1+E210</f>
        <v/>
      </c>
      <c r="C210" s="464" t="n">
        <v>0.009376176752184568</v>
      </c>
      <c r="D210" s="464" t="n">
        <v>0.2536757601997432</v>
      </c>
      <c r="E210" s="464" t="n">
        <v>0.01395707330046291</v>
      </c>
      <c r="F210" s="827" t="n">
        <v>107590288.5272093</v>
      </c>
    </row>
    <row r="213">
      <c r="A213" s="480" t="n"/>
      <c r="B213" s="480" t="inlineStr">
        <is>
          <t>ERP</t>
        </is>
      </c>
      <c r="C213" s="480" t="inlineStr">
        <is>
          <t>Default Spread</t>
        </is>
      </c>
      <c r="D213" s="80" t="inlineStr">
        <is>
          <t>Tax rate</t>
        </is>
      </c>
      <c r="E213" s="480" t="inlineStr">
        <is>
          <t>CRP</t>
        </is>
      </c>
    </row>
    <row r="214">
      <c r="A214" s="1" t="inlineStr">
        <is>
          <t>Africa &amp; Mid East</t>
        </is>
      </c>
      <c r="B214" s="93">
        <f>$B$1+E214</f>
        <v/>
      </c>
      <c r="C214" s="93" t="n">
        <v>0.02803608518864874</v>
      </c>
      <c r="D214" s="464" t="n">
        <v>0.2058721138308135</v>
      </c>
      <c r="E214" s="464">
        <f>C214*1.52</f>
        <v/>
      </c>
      <c r="F214" s="234" t="n"/>
    </row>
    <row r="215">
      <c r="A215" s="1" t="inlineStr">
        <is>
          <t>Australia, NZ &amp; Canada</t>
        </is>
      </c>
      <c r="B215" s="93">
        <f>$B$1+E215</f>
        <v/>
      </c>
      <c r="C215" s="93" t="n">
        <v>1.269104554973757e-05</v>
      </c>
      <c r="D215" s="464" t="n">
        <v>0.2784270460992133</v>
      </c>
      <c r="E215" s="464">
        <f>C215*1.52</f>
        <v/>
      </c>
    </row>
    <row r="216">
      <c r="A216" s="1" t="inlineStr">
        <is>
          <t>Latin America &amp; Caribbean</t>
        </is>
      </c>
      <c r="B216" s="93">
        <f>$B$1+E216</f>
        <v/>
      </c>
      <c r="C216" s="93" t="n">
        <v>0.02886509277075483</v>
      </c>
      <c r="D216" s="464" t="n">
        <v>0.3129313332754861</v>
      </c>
      <c r="E216" s="464">
        <f>C216*1.52</f>
        <v/>
      </c>
    </row>
    <row r="217">
      <c r="A217" s="1" t="inlineStr">
        <is>
          <t>Japan</t>
        </is>
      </c>
      <c r="B217" s="93">
        <f>$B$1+E217</f>
        <v/>
      </c>
      <c r="C217" s="464" t="n">
        <v>0.005992926445154621</v>
      </c>
      <c r="D217" s="464" t="n">
        <v>0.2974</v>
      </c>
      <c r="E217" s="464">
        <f>C217*1.52</f>
        <v/>
      </c>
    </row>
    <row r="218">
      <c r="A218" s="1" t="inlineStr">
        <is>
          <t>US</t>
        </is>
      </c>
      <c r="B218" s="93">
        <f>$B$1+E218</f>
        <v/>
      </c>
      <c r="C218" s="464" t="n">
        <v>0.002333679169992019</v>
      </c>
      <c r="D218" s="464" t="n">
        <v>0.25</v>
      </c>
      <c r="E218" s="464">
        <f>C218*1.52</f>
        <v/>
      </c>
    </row>
    <row r="219">
      <c r="A219" s="1" t="inlineStr">
        <is>
          <t>Europe</t>
        </is>
      </c>
      <c r="B219" s="93">
        <f>$B$1+E219</f>
        <v/>
      </c>
      <c r="C219" s="464" t="n">
        <v>0.006804264459189996</v>
      </c>
      <c r="D219" s="464" t="n">
        <v>0.2555723115658393</v>
      </c>
      <c r="E219" s="464">
        <f>C219*1.52</f>
        <v/>
      </c>
    </row>
    <row r="220">
      <c r="A220" s="1" t="inlineStr">
        <is>
          <t>Emerging Markets</t>
        </is>
      </c>
      <c r="B220" s="93">
        <f>$B$1+E220</f>
        <v/>
      </c>
      <c r="C220" s="93" t="n">
        <v>0.01573969947353278</v>
      </c>
      <c r="D220" s="464" t="n">
        <v>0.2511014733202446</v>
      </c>
      <c r="E220" s="464">
        <f>C220*1.52</f>
        <v/>
      </c>
    </row>
    <row r="221">
      <c r="A221" s="1" t="inlineStr">
        <is>
          <t>Small Asia (No India, China &amp; Japan)</t>
        </is>
      </c>
      <c r="B221" s="93">
        <f>$B$1+E221</f>
        <v/>
      </c>
      <c r="C221" s="93" t="n">
        <v>0.01624026960550423</v>
      </c>
      <c r="D221" s="464" t="n">
        <v>0.2572634936183723</v>
      </c>
      <c r="E221" s="464">
        <f>C221*1.52</f>
        <v/>
      </c>
    </row>
    <row r="222">
      <c r="A222" s="1" t="inlineStr">
        <is>
          <t>India</t>
        </is>
      </c>
      <c r="B222" s="93">
        <f>$B$1+E222</f>
        <v/>
      </c>
      <c r="C222" s="93" t="n">
        <v>0.01867795408739856</v>
      </c>
      <c r="D222" s="464" t="n">
        <v>0.3</v>
      </c>
      <c r="E222" s="464">
        <f>C222*1.52</f>
        <v/>
      </c>
    </row>
    <row r="223">
      <c r="A223" s="1" t="inlineStr">
        <is>
          <t>China</t>
        </is>
      </c>
      <c r="B223" s="93">
        <f>$B$1+E223</f>
        <v/>
      </c>
      <c r="C223" s="464" t="n">
        <v>0.005992926445154621</v>
      </c>
      <c r="D223" s="464" t="n">
        <v>0.25</v>
      </c>
      <c r="E223" s="464">
        <f>C223*1.52</f>
        <v/>
      </c>
    </row>
    <row r="224">
      <c r="A224" s="1" t="inlineStr">
        <is>
          <t>Global</t>
        </is>
      </c>
      <c r="B224" s="93">
        <f>$B$1+E224</f>
        <v/>
      </c>
      <c r="C224" s="464" t="n">
        <v>0.009376176752184568</v>
      </c>
      <c r="D224" s="464" t="n">
        <v>0.2536757601997432</v>
      </c>
      <c r="E224" s="464">
        <f>C224*1.52</f>
        <v/>
      </c>
    </row>
    <row r="225">
      <c r="B225" s="657" t="n"/>
      <c r="C225" s="657" t="n"/>
    </row>
    <row r="226">
      <c r="A226" s="500" t="inlineStr">
        <is>
          <t>For other regional groupings</t>
        </is>
      </c>
    </row>
    <row r="227">
      <c r="A227" s="480" t="n"/>
      <c r="B227" s="480" t="inlineStr">
        <is>
          <t>ERP</t>
        </is>
      </c>
      <c r="C227" s="480" t="inlineStr">
        <is>
          <t>Default Spread</t>
        </is>
      </c>
      <c r="D227" s="80" t="inlineStr">
        <is>
          <t>Tax rate</t>
        </is>
      </c>
      <c r="E227" s="480" t="inlineStr">
        <is>
          <t>CRP</t>
        </is>
      </c>
    </row>
    <row r="228" ht="14" customHeight="1">
      <c r="A228" s="1" t="inlineStr">
        <is>
          <t>EMEA</t>
        </is>
      </c>
      <c r="B228" s="492">
        <f>B1+E228</f>
        <v/>
      </c>
      <c r="C228" s="93" t="n">
        <v>0.01106</v>
      </c>
      <c r="D228" s="481" t="n">
        <v>0.2486</v>
      </c>
      <c r="E228" s="464">
        <f>C228*1.52</f>
        <v/>
      </c>
    </row>
  </sheetData>
  <mergeCells count="1">
    <mergeCell ref="A226:C226"/>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7"/>
  <sheetViews>
    <sheetView workbookViewId="0">
      <pane xSplit="1" ySplit="1" topLeftCell="B84" activePane="bottomRight" state="frozen"/>
      <selection pane="topRight" activeCell="B1" sqref="B1"/>
      <selection pane="bottomLeft" activeCell="A2" sqref="A2"/>
      <selection pane="bottomRight" activeCell="A1" sqref="A1:AA1048576"/>
    </sheetView>
  </sheetViews>
  <sheetFormatPr baseColWidth="10" defaultColWidth="11.5" defaultRowHeight="13"/>
  <cols>
    <col width="23.1640625" customWidth="1" min="1" max="1"/>
    <col width="10.6640625" customWidth="1" style="657" min="2" max="23"/>
    <col width="11.5" customWidth="1" style="657" min="24" max="27"/>
  </cols>
  <sheetData>
    <row r="1" ht="70" customFormat="1" customHeight="1" s="168">
      <c r="A1" s="467" t="inlineStr">
        <is>
          <t>Industry Name</t>
        </is>
      </c>
      <c r="B1" s="468" t="inlineStr">
        <is>
          <t>Number of firms</t>
        </is>
      </c>
      <c r="C1" s="469" t="inlineStr">
        <is>
          <t>Annual Average Revenue growth - Last 5 years</t>
        </is>
      </c>
      <c r="D1" s="469" t="inlineStr">
        <is>
          <t>Pre-tax Operating Margin (Unadjusted)</t>
        </is>
      </c>
      <c r="E1" s="469" t="inlineStr">
        <is>
          <t>After-tax ROC</t>
        </is>
      </c>
      <c r="F1" s="468" t="inlineStr">
        <is>
          <t>Average effective tax rate</t>
        </is>
      </c>
      <c r="G1" s="468" t="inlineStr">
        <is>
          <t>Unlevered Beta</t>
        </is>
      </c>
      <c r="H1" s="468" t="inlineStr">
        <is>
          <t>Equity (Levered) Beta</t>
        </is>
      </c>
      <c r="I1" s="468" t="inlineStr">
        <is>
          <t>Cost of equity</t>
        </is>
      </c>
      <c r="J1" s="468" t="inlineStr">
        <is>
          <t>Std deviation in stock prices</t>
        </is>
      </c>
      <c r="K1" s="468" t="inlineStr">
        <is>
          <t>Pre-tax cost of debt</t>
        </is>
      </c>
      <c r="L1" s="468" t="inlineStr">
        <is>
          <t>Market Debt/Capital</t>
        </is>
      </c>
      <c r="M1" s="468" t="inlineStr">
        <is>
          <t>Cost of capital</t>
        </is>
      </c>
      <c r="N1" s="470" t="inlineStr">
        <is>
          <t>Sales/Capital</t>
        </is>
      </c>
      <c r="O1" s="468" t="inlineStr">
        <is>
          <t>EV/Sales</t>
        </is>
      </c>
      <c r="P1" s="468" t="inlineStr">
        <is>
          <t>EV/EBITDA</t>
        </is>
      </c>
      <c r="Q1" s="468" t="inlineStr">
        <is>
          <t>EV/EBIT</t>
        </is>
      </c>
      <c r="R1" s="468" t="inlineStr">
        <is>
          <t>Price/Book</t>
        </is>
      </c>
      <c r="S1" s="468" t="inlineStr">
        <is>
          <t>Trailing PE</t>
        </is>
      </c>
      <c r="T1" s="468" t="inlineStr">
        <is>
          <t>Non-cash WC as % of Revenues</t>
        </is>
      </c>
      <c r="U1" s="468" t="inlineStr">
        <is>
          <t>Cap Ex as % of Revenues</t>
        </is>
      </c>
      <c r="V1" s="468" t="inlineStr">
        <is>
          <t>Net Cap Ex as % of Revenues</t>
        </is>
      </c>
      <c r="W1" s="468" t="inlineStr">
        <is>
          <t>Reinvestment Rate</t>
        </is>
      </c>
      <c r="X1" s="468" t="inlineStr">
        <is>
          <t>ROE</t>
        </is>
      </c>
      <c r="Y1" s="468" t="inlineStr">
        <is>
          <t>Dividend Payout Ratio</t>
        </is>
      </c>
      <c r="Z1" s="468" t="inlineStr">
        <is>
          <t>Equity Reinvestment Rate</t>
        </is>
      </c>
      <c r="AA1" s="468" t="inlineStr">
        <is>
          <t>Pre-tax Operating Margin (Lease &amp; R&amp;D adjusted)</t>
        </is>
      </c>
    </row>
    <row r="2" ht="14" customHeight="1">
      <c r="A2" s="147" t="inlineStr">
        <is>
          <t>Advertising</t>
        </is>
      </c>
      <c r="B2" s="268" t="n">
        <v>52</v>
      </c>
      <c r="C2" s="482" t="n">
        <v>0.1767452173913043</v>
      </c>
      <c r="D2" s="482" t="n">
        <v>0.1006579872349902</v>
      </c>
      <c r="E2" s="482" t="n">
        <v>0.2772269074749548</v>
      </c>
      <c r="F2" s="482" t="n">
        <v>0.2807582010211933</v>
      </c>
      <c r="G2" s="483" t="n">
        <v>1.008009890342126</v>
      </c>
      <c r="H2" s="483" t="n">
        <v>1.210506967409714</v>
      </c>
      <c r="I2" s="482" t="n">
        <v>0.09348861074647324</v>
      </c>
      <c r="J2" s="482" t="n">
        <v>0.6291480405048702</v>
      </c>
      <c r="K2" s="482" t="n">
        <v>0.052913</v>
      </c>
      <c r="L2" s="482" t="n">
        <v>0.2867335758206064</v>
      </c>
      <c r="M2" s="482" t="n">
        <v>0.07806123736168302</v>
      </c>
      <c r="N2" s="483" t="n">
        <v>3.853284109074878</v>
      </c>
      <c r="O2" s="483" t="n">
        <v>2.124894482334712</v>
      </c>
      <c r="P2" s="483" t="n">
        <v>11.99864507503545</v>
      </c>
      <c r="Q2" s="483" t="n">
        <v>20.90871553387436</v>
      </c>
      <c r="R2" s="483" t="n">
        <v>4.551214997456897</v>
      </c>
      <c r="S2" s="483" t="n">
        <v>44.43335288410666</v>
      </c>
      <c r="T2" s="482" t="n">
        <v>0.03833924739785394</v>
      </c>
      <c r="U2" s="482" t="n">
        <v>0.01912856422404044</v>
      </c>
      <c r="V2" s="482" t="n">
        <v>-0.01521312510779972</v>
      </c>
      <c r="W2" s="482" t="n">
        <v>-0.2050208210370641</v>
      </c>
      <c r="X2" s="482" t="n">
        <v>-0.01342256630072023</v>
      </c>
      <c r="Y2" s="482" t="n">
        <v>0.002746594292734156</v>
      </c>
      <c r="Z2" s="482" t="n">
        <v>0.002746594292734161</v>
      </c>
      <c r="AA2" s="484" t="n">
        <v>0.1019039142882163</v>
      </c>
    </row>
    <row r="3" ht="14" customHeight="1">
      <c r="A3" s="147" t="inlineStr">
        <is>
          <t>Aerospace/Defense</t>
        </is>
      </c>
      <c r="B3" s="268" t="n">
        <v>79</v>
      </c>
      <c r="C3" s="482" t="n">
        <v>0.1109988095238095</v>
      </c>
      <c r="D3" s="482" t="n">
        <v>0.08654588995592664</v>
      </c>
      <c r="E3" s="482" t="n">
        <v>0.160123607492574</v>
      </c>
      <c r="F3" s="482" t="n">
        <v>0.1711225373304806</v>
      </c>
      <c r="G3" s="483" t="n">
        <v>0.8693772823914925</v>
      </c>
      <c r="H3" s="483" t="n">
        <v>0.945491480030761</v>
      </c>
      <c r="I3" s="482" t="n">
        <v>0.08166892000937194</v>
      </c>
      <c r="J3" s="482" t="n">
        <v>0.4645229995086378</v>
      </c>
      <c r="K3" s="482" t="n">
        <v>0.052913</v>
      </c>
      <c r="L3" s="482" t="n">
        <v>0.134668119667556</v>
      </c>
      <c r="M3" s="482" t="n">
        <v>0.07601499077840683</v>
      </c>
      <c r="N3" s="483" t="n">
        <v>2.743410439975415</v>
      </c>
      <c r="O3" s="483" t="n">
        <v>3.570706581908985</v>
      </c>
      <c r="P3" s="483" t="n">
        <v>21.58391276518138</v>
      </c>
      <c r="Q3" s="483" t="n">
        <v>34.78792620620136</v>
      </c>
      <c r="R3" s="483" t="n">
        <v>7.880460504324958</v>
      </c>
      <c r="S3" s="483" t="n">
        <v>92.80031534792768</v>
      </c>
      <c r="T3" s="482" t="n">
        <v>0.4121022649063961</v>
      </c>
      <c r="U3" s="482" t="n">
        <v>0.02996229507217621</v>
      </c>
      <c r="V3" s="482" t="n">
        <v>0.008180079107619597</v>
      </c>
      <c r="W3" s="482" t="n">
        <v>0.6791726169949143</v>
      </c>
      <c r="X3" s="482" t="n">
        <v>0.1526898724987998</v>
      </c>
      <c r="Y3" s="482" t="n">
        <v>0.5015234087265174</v>
      </c>
      <c r="Z3" s="482" t="n">
        <v>0.5015234087265174</v>
      </c>
      <c r="AA3" s="484" t="n">
        <v>0.08765371591441157</v>
      </c>
    </row>
    <row r="4" ht="14" customHeight="1">
      <c r="A4" s="147" t="inlineStr">
        <is>
          <t>Air Transport</t>
        </is>
      </c>
      <c r="B4" s="268" t="n">
        <v>23</v>
      </c>
      <c r="C4" s="482" t="n">
        <v>0.4778615384615385</v>
      </c>
      <c r="D4" s="482" t="n">
        <v>0.05321179963425901</v>
      </c>
      <c r="E4" s="482" t="n">
        <v>0.07929312533704834</v>
      </c>
      <c r="F4" s="482" t="n">
        <v>0.2262844025651933</v>
      </c>
      <c r="G4" s="483" t="n">
        <v>0.7579038179118688</v>
      </c>
      <c r="H4" s="483" t="n">
        <v>1.185465100406711</v>
      </c>
      <c r="I4" s="482" t="n">
        <v>0.09237174347813931</v>
      </c>
      <c r="J4" s="482" t="n">
        <v>0.590043262853523</v>
      </c>
      <c r="K4" s="482" t="n">
        <v>0.052913</v>
      </c>
      <c r="L4" s="482" t="n">
        <v>0.4769069257453501</v>
      </c>
      <c r="M4" s="482" t="n">
        <v>0.06724495139171459</v>
      </c>
      <c r="N4" s="483" t="n">
        <v>1.799883651563514</v>
      </c>
      <c r="O4" s="483" t="n">
        <v>1.025954922450268</v>
      </c>
      <c r="P4" s="483" t="n">
        <v>7.57525768425806</v>
      </c>
      <c r="Q4" s="483" t="n">
        <v>19.31868974315794</v>
      </c>
      <c r="R4" s="483" t="n">
        <v>2.841422848445872</v>
      </c>
      <c r="S4" s="483" t="n">
        <v>18.32154666661634</v>
      </c>
      <c r="T4" s="482" t="n">
        <v>0.004517379224045571</v>
      </c>
      <c r="U4" s="482" t="n">
        <v>0.08297199304028144</v>
      </c>
      <c r="V4" s="482" t="n">
        <v>0.03606573056646115</v>
      </c>
      <c r="W4" s="482" t="n">
        <v>0.8375441324988381</v>
      </c>
      <c r="X4" s="482" t="n">
        <v>0.1419484078609557</v>
      </c>
      <c r="Y4" s="482" t="n">
        <v>0.1320715404860265</v>
      </c>
      <c r="Z4" s="482" t="n">
        <v>0.1320715404860264</v>
      </c>
      <c r="AA4" s="484" t="n">
        <v>0.04899064232947189</v>
      </c>
    </row>
    <row r="5" ht="14" customHeight="1">
      <c r="A5" s="147" t="inlineStr">
        <is>
          <t>Apparel</t>
        </is>
      </c>
      <c r="B5" s="268" t="n">
        <v>35</v>
      </c>
      <c r="C5" s="482" t="n">
        <v>0.08102043478260869</v>
      </c>
      <c r="D5" s="482" t="n">
        <v>0.09110059660081257</v>
      </c>
      <c r="E5" s="482" t="n">
        <v>0.157685156024459</v>
      </c>
      <c r="F5" s="482" t="n">
        <v>0.2211357894801231</v>
      </c>
      <c r="G5" s="483" t="n">
        <v>0.794563498700363</v>
      </c>
      <c r="H5" s="483" t="n">
        <v>0.9358744642979875</v>
      </c>
      <c r="I5" s="482" t="n">
        <v>0.08124000110769025</v>
      </c>
      <c r="J5" s="482" t="n">
        <v>0.4626373673236945</v>
      </c>
      <c r="K5" s="482" t="n">
        <v>0.052913</v>
      </c>
      <c r="L5" s="482" t="n">
        <v>0.2383405613748074</v>
      </c>
      <c r="M5" s="482" t="n">
        <v>0.07133569923061227</v>
      </c>
      <c r="N5" s="483" t="n">
        <v>1.768667029517862</v>
      </c>
      <c r="O5" s="483" t="n">
        <v>1.594209821413011</v>
      </c>
      <c r="P5" s="483" t="n">
        <v>10.3048863218164</v>
      </c>
      <c r="Q5" s="483" t="n">
        <v>16.08652156882508</v>
      </c>
      <c r="R5" s="483" t="n">
        <v>3.893952784961127</v>
      </c>
      <c r="S5" s="483" t="n">
        <v>37.82798638911136</v>
      </c>
      <c r="T5" s="482" t="n">
        <v>0.2437936543231524</v>
      </c>
      <c r="U5" s="482" t="n">
        <v>0.02417970610801618</v>
      </c>
      <c r="V5" s="482" t="n">
        <v>0.02076543961278131</v>
      </c>
      <c r="W5" s="482" t="n">
        <v>0.3147357131772605</v>
      </c>
      <c r="X5" s="482" t="n">
        <v>0.1042077143729041</v>
      </c>
      <c r="Y5" s="482" t="n">
        <v>0.5009316781675721</v>
      </c>
      <c r="Z5" s="482" t="n">
        <v>0.5009316781675721</v>
      </c>
      <c r="AA5" s="484" t="n">
        <v>0.0987364672594272</v>
      </c>
    </row>
    <row r="6" ht="14" customHeight="1">
      <c r="A6" s="147" t="inlineStr">
        <is>
          <t>Auto &amp; Truck</t>
        </is>
      </c>
      <c r="B6" s="268" t="n">
        <v>33</v>
      </c>
      <c r="C6" s="482" t="n">
        <v>0.08639999999999999</v>
      </c>
      <c r="D6" s="482" t="n">
        <v>0.02318213303371271</v>
      </c>
      <c r="E6" s="482" t="n">
        <v>0.02247412851375608</v>
      </c>
      <c r="F6" s="482" t="n">
        <v>0.2193068050424434</v>
      </c>
      <c r="G6" s="483" t="n">
        <v>1.30816520643589</v>
      </c>
      <c r="H6" s="483" t="n">
        <v>1.456493304834781</v>
      </c>
      <c r="I6" s="482" t="n">
        <v>0.1044596013956313</v>
      </c>
      <c r="J6" s="482" t="n">
        <v>0.6183460542354303</v>
      </c>
      <c r="K6" s="482" t="n">
        <v>0.052913</v>
      </c>
      <c r="L6" s="482" t="n">
        <v>0.1645493552310309</v>
      </c>
      <c r="M6" s="482" t="n">
        <v>0.0938009413632943</v>
      </c>
      <c r="N6" s="483" t="n">
        <v>1.075295700221258</v>
      </c>
      <c r="O6" s="483" t="n">
        <v>3.883020426885024</v>
      </c>
      <c r="P6" s="483" t="n">
        <v>47.75584242880809</v>
      </c>
      <c r="Q6" s="483" t="n">
        <v>160.3162553193214</v>
      </c>
      <c r="R6" s="483" t="n">
        <v>7.724731802119622</v>
      </c>
      <c r="S6" s="483" t="n">
        <v>64.32031076304214</v>
      </c>
      <c r="T6" s="482" t="n">
        <v>-0.02961210934566343</v>
      </c>
      <c r="U6" s="482" t="n">
        <v>0.05943956971379534</v>
      </c>
      <c r="V6" s="482" t="n">
        <v>0.02096318389061864</v>
      </c>
      <c r="W6" s="482" t="n">
        <v>-0.3855679082103046</v>
      </c>
      <c r="X6" s="482" t="n">
        <v>0.03159322520026207</v>
      </c>
      <c r="Y6" s="482" t="n">
        <v>0.5830852925800871</v>
      </c>
      <c r="Z6" s="482" t="n">
        <v>0.5830852925800871</v>
      </c>
      <c r="AA6" s="484" t="n">
        <v>0.02528298212000548</v>
      </c>
    </row>
    <row r="7" ht="14" customHeight="1">
      <c r="A7" s="147" t="inlineStr">
        <is>
          <t>Auto Parts</t>
        </is>
      </c>
      <c r="B7" s="268" t="n">
        <v>35</v>
      </c>
      <c r="C7" s="482" t="n">
        <v>0.1590947826086957</v>
      </c>
      <c r="D7" s="482" t="n">
        <v>0.05673758663662253</v>
      </c>
      <c r="E7" s="482" t="n">
        <v>0.08975948273328078</v>
      </c>
      <c r="F7" s="482" t="n">
        <v>0.3164684174560379</v>
      </c>
      <c r="G7" s="483" t="n">
        <v>1.128305105178362</v>
      </c>
      <c r="H7" s="483" t="n">
        <v>1.339446365194841</v>
      </c>
      <c r="I7" s="482" t="n">
        <v>0.09923930788768992</v>
      </c>
      <c r="J7" s="482" t="n">
        <v>0.4987204042985499</v>
      </c>
      <c r="K7" s="482" t="n">
        <v>0.052913</v>
      </c>
      <c r="L7" s="482" t="n">
        <v>0.293106392650663</v>
      </c>
      <c r="M7" s="482" t="n">
        <v>0.08178348625932404</v>
      </c>
      <c r="N7" s="483" t="n">
        <v>2.389159701430121</v>
      </c>
      <c r="O7" s="483" t="n">
        <v>0.822835978588616</v>
      </c>
      <c r="P7" s="483" t="n">
        <v>6.428093985050202</v>
      </c>
      <c r="Q7" s="483" t="n">
        <v>12.3828690407349</v>
      </c>
      <c r="R7" s="483" t="n">
        <v>1.865455398537074</v>
      </c>
      <c r="S7" s="483" t="n">
        <v>28.07297694836023</v>
      </c>
      <c r="T7" s="482" t="n">
        <v>0.1585492060088447</v>
      </c>
      <c r="U7" s="482" t="n">
        <v>0.02984567905796384</v>
      </c>
      <c r="V7" s="482" t="n">
        <v>0.02012558693359253</v>
      </c>
      <c r="W7" s="482" t="n">
        <v>0.3899160926503283</v>
      </c>
      <c r="X7" s="482" t="n">
        <v>0.02174148821191271</v>
      </c>
      <c r="Y7" s="482" t="n">
        <v>1.095468502103544</v>
      </c>
      <c r="Z7" s="482" t="n">
        <v>1.095468502103544</v>
      </c>
      <c r="AA7" s="484" t="n">
        <v>0.05963900470224144</v>
      </c>
    </row>
    <row r="8" ht="14" customHeight="1">
      <c r="A8" s="147" t="inlineStr">
        <is>
          <t>Bank (Money Center)</t>
        </is>
      </c>
      <c r="B8" s="268" t="n">
        <v>15</v>
      </c>
      <c r="C8" s="482" t="n">
        <v>0.09056428571428571</v>
      </c>
      <c r="D8" s="482" t="n">
        <v>0</v>
      </c>
      <c r="E8" s="482" t="inlineStr">
        <is>
          <t>NA</t>
        </is>
      </c>
      <c r="F8" s="482" t="n">
        <v>0.1738047314193501</v>
      </c>
      <c r="G8" s="483" t="n">
        <v>0.4438913800649</v>
      </c>
      <c r="H8" s="483" t="n">
        <v>0.7610461819725333</v>
      </c>
      <c r="I8" s="482" t="n">
        <v>0.07344265971597498</v>
      </c>
      <c r="J8" s="482" t="n">
        <v>0.2273871767054001</v>
      </c>
      <c r="K8" s="482" t="n">
        <v>0.047306</v>
      </c>
      <c r="L8" s="482" t="n">
        <v>0.6214840556353255</v>
      </c>
      <c r="M8" s="482" t="n">
        <v>0.04984916125095924</v>
      </c>
      <c r="N8" s="483" t="n">
        <v>0.1906379954861498</v>
      </c>
      <c r="O8" s="483" t="n">
        <v>8.309557250451441</v>
      </c>
      <c r="P8" s="483" t="inlineStr">
        <is>
          <t>NA</t>
        </is>
      </c>
      <c r="Q8" s="483" t="inlineStr">
        <is>
          <t>NA</t>
        </is>
      </c>
      <c r="R8" s="483" t="n">
        <v>1.622329637857376</v>
      </c>
      <c r="S8" s="483" t="n">
        <v>14.95103617528728</v>
      </c>
      <c r="T8" s="482" t="inlineStr">
        <is>
          <t>NA</t>
        </is>
      </c>
      <c r="U8" s="482" t="n">
        <v>0.01780553375255397</v>
      </c>
      <c r="V8" s="482" t="n">
        <v>0.01794824430841158</v>
      </c>
      <c r="W8" s="482" t="n">
        <v>0.04984916125095924</v>
      </c>
      <c r="X8" s="482" t="n">
        <v>0.1286033422174945</v>
      </c>
      <c r="Y8" s="482" t="n">
        <v>0.2811083405068467</v>
      </c>
      <c r="Z8" s="482" t="n">
        <v>0.2811083405068466</v>
      </c>
      <c r="AA8" s="484" t="n">
        <v>0.0007750801437471605</v>
      </c>
    </row>
    <row r="9" ht="14" customHeight="1">
      <c r="A9" s="147" t="inlineStr">
        <is>
          <t>Banks (Regional)</t>
        </is>
      </c>
      <c r="B9" s="268" t="n">
        <v>568</v>
      </c>
      <c r="C9" s="482" t="n">
        <v>0.08046543624161075</v>
      </c>
      <c r="D9" s="482" t="n">
        <v>4.906690582821559e-08</v>
      </c>
      <c r="E9" s="482" t="inlineStr">
        <is>
          <t>NA</t>
        </is>
      </c>
      <c r="F9" s="482" t="n">
        <v>0.2077764463042029</v>
      </c>
      <c r="G9" s="483" t="n">
        <v>0.3744392448485997</v>
      </c>
      <c r="H9" s="483" t="n">
        <v>0.3984765556409175</v>
      </c>
      <c r="I9" s="482" t="n">
        <v>0.05727205438158492</v>
      </c>
      <c r="J9" s="482" t="n">
        <v>0.2268255755296142</v>
      </c>
      <c r="K9" s="482" t="n">
        <v>0.047306</v>
      </c>
      <c r="L9" s="482" t="n">
        <v>0.3425477144640123</v>
      </c>
      <c r="M9" s="482" t="n">
        <v>0.04980706468584031</v>
      </c>
      <c r="N9" s="483" t="n">
        <v>0.328788112408653</v>
      </c>
      <c r="O9" s="483" t="n">
        <v>4.276272252419073</v>
      </c>
      <c r="P9" s="483" t="inlineStr">
        <is>
          <t>NA</t>
        </is>
      </c>
      <c r="Q9" s="483" t="inlineStr">
        <is>
          <t>NA</t>
        </is>
      </c>
      <c r="R9" s="483" t="n">
        <v>1.138035408465394</v>
      </c>
      <c r="S9" s="483" t="n">
        <v>33.60151765147859</v>
      </c>
      <c r="T9" s="482" t="inlineStr">
        <is>
          <t>NA</t>
        </is>
      </c>
      <c r="U9" s="482" t="n">
        <v>0.02289227395172249</v>
      </c>
      <c r="V9" s="482" t="n">
        <v>-0.01302434674243366</v>
      </c>
      <c r="W9" s="482" t="inlineStr">
        <is>
          <t>NA</t>
        </is>
      </c>
      <c r="X9" s="482" t="n">
        <v>0.09754318761860904</v>
      </c>
      <c r="Y9" s="482" t="n">
        <v>0.3608881307853747</v>
      </c>
      <c r="Z9" s="482" t="n">
        <v>0.3608881307853747</v>
      </c>
      <c r="AA9" s="484" t="n">
        <v>-0.001205702109434925</v>
      </c>
    </row>
    <row r="10" ht="14" customHeight="1">
      <c r="A10" s="147" t="inlineStr">
        <is>
          <t>Beverage (Alcoholic)</t>
        </is>
      </c>
      <c r="B10" s="268" t="n">
        <v>14</v>
      </c>
      <c r="C10" s="482" t="n">
        <v>0.0342775</v>
      </c>
      <c r="D10" s="482" t="n">
        <v>0.2276334418561985</v>
      </c>
      <c r="E10" s="482" t="n">
        <v>0.1574476577657289</v>
      </c>
      <c r="F10" s="482" t="n">
        <v>0.2473220609635172</v>
      </c>
      <c r="G10" s="483" t="n">
        <v>0.6280466376925842</v>
      </c>
      <c r="H10" s="483" t="n">
        <v>0.8124756277132766</v>
      </c>
      <c r="I10" s="482" t="n">
        <v>0.07573641299601214</v>
      </c>
      <c r="J10" s="482" t="n">
        <v>0.5596193724547387</v>
      </c>
      <c r="K10" s="482" t="n">
        <v>0.052913</v>
      </c>
      <c r="L10" s="482" t="n">
        <v>0.3023502785795125</v>
      </c>
      <c r="M10" s="482" t="n">
        <v>0.06483618264591316</v>
      </c>
      <c r="N10" s="483" t="n">
        <v>0.7883105803585208</v>
      </c>
      <c r="O10" s="483" t="n">
        <v>2.453919895002763</v>
      </c>
      <c r="P10" s="483" t="n">
        <v>8.60547949225314</v>
      </c>
      <c r="Q10" s="483" t="n">
        <v>10.75235523108562</v>
      </c>
      <c r="R10" s="483" t="n">
        <v>1.914106644627441</v>
      </c>
      <c r="S10" s="483" t="n">
        <v>28.29629932115329</v>
      </c>
      <c r="T10" s="482" t="n">
        <v>0.1463996512322793</v>
      </c>
      <c r="U10" s="482" t="n">
        <v>0.06720499729148936</v>
      </c>
      <c r="V10" s="482" t="n">
        <v>0.03735964766520401</v>
      </c>
      <c r="W10" s="482" t="n">
        <v>0.2201792798649744</v>
      </c>
      <c r="X10" s="482" t="n">
        <v>0.0056819180842404</v>
      </c>
      <c r="Y10" s="482" t="n">
        <v>0.00224154517375531</v>
      </c>
      <c r="Z10" s="482" t="n">
        <v>0.002241545173755299</v>
      </c>
      <c r="AA10" s="484" t="n">
        <v>0.2278729266652661</v>
      </c>
    </row>
    <row r="11" ht="14" customHeight="1">
      <c r="A11" s="147" t="inlineStr">
        <is>
          <t>Beverage (Soft)</t>
        </is>
      </c>
      <c r="B11" s="268" t="n">
        <v>27</v>
      </c>
      <c r="C11" s="482" t="n">
        <v>0.08583499999999999</v>
      </c>
      <c r="D11" s="482" t="n">
        <v>0.2052511464095513</v>
      </c>
      <c r="E11" s="482" t="n">
        <v>0.2902563541349132</v>
      </c>
      <c r="F11" s="482" t="n">
        <v>0.1957351452468393</v>
      </c>
      <c r="G11" s="483" t="n">
        <v>0.5754648330410659</v>
      </c>
      <c r="H11" s="483" t="n">
        <v>0.6414687070147179</v>
      </c>
      <c r="I11" s="482" t="n">
        <v>0.06810950433285642</v>
      </c>
      <c r="J11" s="482" t="n">
        <v>0.5788689759563741</v>
      </c>
      <c r="K11" s="482" t="n">
        <v>0.052913</v>
      </c>
      <c r="L11" s="482" t="n">
        <v>0.1707240273857684</v>
      </c>
      <c r="M11" s="482" t="n">
        <v>0.06325671579570011</v>
      </c>
      <c r="N11" s="483" t="n">
        <v>1.544178598437808</v>
      </c>
      <c r="O11" s="483" t="n">
        <v>4.156113450493375</v>
      </c>
      <c r="P11" s="483" t="n">
        <v>16.90424497023079</v>
      </c>
      <c r="Q11" s="483" t="n">
        <v>20.14057031238029</v>
      </c>
      <c r="R11" s="483" t="n">
        <v>6.869060540041212</v>
      </c>
      <c r="S11" s="483" t="n">
        <v>47.76375952172016</v>
      </c>
      <c r="T11" s="482" t="n">
        <v>-0.06003272102620585</v>
      </c>
      <c r="U11" s="482" t="n">
        <v>0.04589053562292564</v>
      </c>
      <c r="V11" s="482" t="n">
        <v>0.04690315914240828</v>
      </c>
      <c r="W11" s="482" t="n">
        <v>0.3393378251123354</v>
      </c>
      <c r="X11" s="482" t="n">
        <v>0.309155850955302</v>
      </c>
      <c r="Y11" s="482" t="n">
        <v>0.7266805539200581</v>
      </c>
      <c r="Z11" s="482" t="n">
        <v>0.7266805539200581</v>
      </c>
      <c r="AA11" s="484" t="n">
        <v>0.206320571232899</v>
      </c>
    </row>
    <row r="12" ht="14" customHeight="1">
      <c r="A12" s="147" t="inlineStr">
        <is>
          <t>Broadcasting</t>
        </is>
      </c>
      <c r="B12" s="268" t="n">
        <v>24</v>
      </c>
      <c r="C12" s="482" t="n">
        <v>0.08410105263157895</v>
      </c>
      <c r="D12" s="482" t="n">
        <v>0.1233389317157333</v>
      </c>
      <c r="E12" s="482" t="n">
        <v>0.145672947918031</v>
      </c>
      <c r="F12" s="482" t="n">
        <v>0.2553680892864994</v>
      </c>
      <c r="G12" s="483" t="n">
        <v>0.315292569835984</v>
      </c>
      <c r="H12" s="483" t="n">
        <v>0.4707520484863454</v>
      </c>
      <c r="I12" s="482" t="n">
        <v>0.06049554136249101</v>
      </c>
      <c r="J12" s="482" t="n">
        <v>0.4662306993347863</v>
      </c>
      <c r="K12" s="482" t="n">
        <v>0.052913</v>
      </c>
      <c r="L12" s="482" t="n">
        <v>0.4619440863788541</v>
      </c>
      <c r="M12" s="482" t="n">
        <v>0.05088211935972416</v>
      </c>
      <c r="N12" s="483" t="n">
        <v>1.278664967502679</v>
      </c>
      <c r="O12" s="483" t="n">
        <v>1.395140428325257</v>
      </c>
      <c r="P12" s="483" t="n">
        <v>7.84701463710848</v>
      </c>
      <c r="Q12" s="483" t="n">
        <v>11.15839660891767</v>
      </c>
      <c r="R12" s="483" t="n">
        <v>1.664721591780748</v>
      </c>
      <c r="S12" s="483" t="n">
        <v>44.7592195956879</v>
      </c>
      <c r="T12" s="482" t="n">
        <v>0.1045521295013434</v>
      </c>
      <c r="U12" s="482" t="n">
        <v>0.01823657338898001</v>
      </c>
      <c r="V12" s="482" t="n">
        <v>-0.02258875612806698</v>
      </c>
      <c r="W12" s="482" t="n">
        <v>1.887623815805541</v>
      </c>
      <c r="X12" s="482" t="n">
        <v>0.03985249661675879</v>
      </c>
      <c r="Y12" s="482" t="n">
        <v>0.608281553794069</v>
      </c>
      <c r="Z12" s="482" t="n">
        <v>0.608281553794069</v>
      </c>
      <c r="AA12" s="484" t="n">
        <v>0.123501001178836</v>
      </c>
    </row>
    <row r="13" ht="14" customHeight="1">
      <c r="A13" s="147" t="inlineStr">
        <is>
          <t>Brokerage &amp; Investment Banking</t>
        </is>
      </c>
      <c r="B13" s="268" t="n">
        <v>32</v>
      </c>
      <c r="C13" s="482" t="n">
        <v>0.3551565217391305</v>
      </c>
      <c r="D13" s="482" t="n">
        <v>-1.791589659785801e-05</v>
      </c>
      <c r="E13" s="482" t="inlineStr">
        <is>
          <t>NA</t>
        </is>
      </c>
      <c r="F13" s="482" t="n">
        <v>0.2045176333849742</v>
      </c>
      <c r="G13" s="483" t="n">
        <v>0.6794030848916329</v>
      </c>
      <c r="H13" s="483" t="n">
        <v>1.171457071047836</v>
      </c>
      <c r="I13" s="482" t="n">
        <v>0.09174698536873349</v>
      </c>
      <c r="J13" s="482" t="n">
        <v>0.366085597210624</v>
      </c>
      <c r="K13" s="482" t="n">
        <v>0.050672</v>
      </c>
      <c r="L13" s="482" t="n">
        <v>0.5755042617612304</v>
      </c>
      <c r="M13" s="482" t="n">
        <v>0.06081766824925591</v>
      </c>
      <c r="N13" s="483" t="n">
        <v>0.2748679414806701</v>
      </c>
      <c r="O13" s="483" t="n">
        <v>5.782260395845316</v>
      </c>
      <c r="P13" s="483" t="inlineStr">
        <is>
          <t>NA</t>
        </is>
      </c>
      <c r="Q13" s="483" t="inlineStr">
        <is>
          <t>NA</t>
        </is>
      </c>
      <c r="R13" s="483" t="n">
        <v>2.808591856318562</v>
      </c>
      <c r="S13" s="483" t="n">
        <v>86.54190898171709</v>
      </c>
      <c r="T13" s="482" t="inlineStr">
        <is>
          <t>NA</t>
        </is>
      </c>
      <c r="U13" s="482" t="n">
        <v>0.02111127538384535</v>
      </c>
      <c r="V13" s="482" t="n">
        <v>0.01638611547330588</v>
      </c>
      <c r="W13" s="482" t="inlineStr">
        <is>
          <t>NA</t>
        </is>
      </c>
      <c r="X13" s="482" t="n">
        <v>0.1776790840770902</v>
      </c>
      <c r="Y13" s="482" t="n">
        <v>0.2761307603548932</v>
      </c>
      <c r="Z13" s="482" t="n">
        <v>0.2761307603548933</v>
      </c>
      <c r="AA13" s="484" t="n">
        <v>-0.001022586252035371</v>
      </c>
    </row>
    <row r="14" ht="14" customHeight="1">
      <c r="A14" s="147" t="inlineStr">
        <is>
          <t>Building Materials</t>
        </is>
      </c>
      <c r="B14" s="268" t="n">
        <v>41</v>
      </c>
      <c r="C14" s="482" t="n">
        <v>0.04138741935483869</v>
      </c>
      <c r="D14" s="482" t="n">
        <v>0.1263682651670859</v>
      </c>
      <c r="E14" s="482" t="n">
        <v>0.2016456871654533</v>
      </c>
      <c r="F14" s="482" t="n">
        <v>0.2835685386764281</v>
      </c>
      <c r="G14" s="483" t="n">
        <v>0.9605275604881124</v>
      </c>
      <c r="H14" s="483" t="n">
        <v>1.111532173344242</v>
      </c>
      <c r="I14" s="482" t="n">
        <v>0.08907433493115322</v>
      </c>
      <c r="J14" s="482" t="n">
        <v>0.3528210091019042</v>
      </c>
      <c r="K14" s="482" t="n">
        <v>0.050672</v>
      </c>
      <c r="L14" s="482" t="n">
        <v>0.2063385229383632</v>
      </c>
      <c r="M14" s="482" t="n">
        <v>0.07853655745549157</v>
      </c>
      <c r="N14" s="483" t="n">
        <v>2.060797714865319</v>
      </c>
      <c r="O14" s="483" t="n">
        <v>2.046061229341256</v>
      </c>
      <c r="P14" s="483" t="n">
        <v>11.60704114199348</v>
      </c>
      <c r="Q14" s="483" t="n">
        <v>15.9746010471706</v>
      </c>
      <c r="R14" s="483" t="n">
        <v>3.61632689588609</v>
      </c>
      <c r="S14" s="483" t="n">
        <v>32.79846401044874</v>
      </c>
      <c r="T14" s="482" t="n">
        <v>0.1843583667837102</v>
      </c>
      <c r="U14" s="482" t="n">
        <v>0.03551208384925764</v>
      </c>
      <c r="V14" s="482" t="n">
        <v>0.02768461723598094</v>
      </c>
      <c r="W14" s="482" t="n">
        <v>0.3822608727800991</v>
      </c>
      <c r="X14" s="482" t="n">
        <v>0.1599761776207635</v>
      </c>
      <c r="Y14" s="482" t="n">
        <v>0.2555367297858912</v>
      </c>
      <c r="Z14" s="482" t="n">
        <v>0.2555367297858913</v>
      </c>
      <c r="AA14" s="484" t="n">
        <v>0.1284573960907987</v>
      </c>
    </row>
    <row r="15" ht="14" customHeight="1">
      <c r="A15" s="147" t="inlineStr">
        <is>
          <t>Business &amp; Consumer Services</t>
        </is>
      </c>
      <c r="B15" s="268" t="n">
        <v>155</v>
      </c>
      <c r="C15" s="482" t="n">
        <v>0.05802691358024693</v>
      </c>
      <c r="D15" s="482" t="n">
        <v>0.1227243245030342</v>
      </c>
      <c r="E15" s="482" t="n">
        <v>0.2829769143571269</v>
      </c>
      <c r="F15" s="482" t="n">
        <v>0.2245735835052961</v>
      </c>
      <c r="G15" s="483" t="n">
        <v>0.8060249314889546</v>
      </c>
      <c r="H15" s="483" t="n">
        <v>0.8879785335242745</v>
      </c>
      <c r="I15" s="482" t="n">
        <v>0.07910384259518263</v>
      </c>
      <c r="J15" s="482" t="n">
        <v>0.4110699163971621</v>
      </c>
      <c r="K15" s="482" t="n">
        <v>0.050672</v>
      </c>
      <c r="L15" s="482" t="n">
        <v>0.1646904647110766</v>
      </c>
      <c r="M15" s="482" t="n">
        <v>0.0723350904186299</v>
      </c>
      <c r="N15" s="483" t="n">
        <v>2.798510613050091</v>
      </c>
      <c r="O15" s="483" t="n">
        <v>2.529732711893669</v>
      </c>
      <c r="P15" s="483" t="n">
        <v>14.25716397829691</v>
      </c>
      <c r="Q15" s="483" t="n">
        <v>20.14557296198789</v>
      </c>
      <c r="R15" s="483" t="n">
        <v>5.299415367043293</v>
      </c>
      <c r="S15" s="483" t="n">
        <v>36.39662533586826</v>
      </c>
      <c r="T15" s="482" t="n">
        <v>0.1451898518828459</v>
      </c>
      <c r="U15" s="482" t="n">
        <v>0.02605567698954752</v>
      </c>
      <c r="V15" s="482" t="n">
        <v>0.03359131925744852</v>
      </c>
      <c r="W15" s="482" t="n">
        <v>0.4438590573887197</v>
      </c>
      <c r="X15" s="482" t="n">
        <v>0.1819576192008985</v>
      </c>
      <c r="Y15" s="482" t="n">
        <v>0.4260432719736815</v>
      </c>
      <c r="Z15" s="482" t="n">
        <v>0.4260432719736815</v>
      </c>
      <c r="AA15" s="484" t="n">
        <v>0.1237638109051422</v>
      </c>
    </row>
    <row r="16" ht="14" customHeight="1">
      <c r="A16" s="147" t="inlineStr">
        <is>
          <t>Cable TV</t>
        </is>
      </c>
      <c r="B16" s="268" t="n">
        <v>9</v>
      </c>
      <c r="C16" s="482" t="n">
        <v>0.2694285714285714</v>
      </c>
      <c r="D16" s="482" t="n">
        <v>0.1848574581503954</v>
      </c>
      <c r="E16" s="482" t="n">
        <v>0.1206212056562121</v>
      </c>
      <c r="F16" s="482" t="n">
        <v>0.1896476840142051</v>
      </c>
      <c r="G16" s="483" t="n">
        <v>0.3628769074636262</v>
      </c>
      <c r="H16" s="483" t="n">
        <v>0.7407444081777597</v>
      </c>
      <c r="I16" s="482" t="n">
        <v>0.07253720060472808</v>
      </c>
      <c r="J16" s="482" t="n">
        <v>0.4404071378928042</v>
      </c>
      <c r="K16" s="482" t="n">
        <v>0.050672</v>
      </c>
      <c r="L16" s="482" t="n">
        <v>0.595042430850748</v>
      </c>
      <c r="M16" s="482" t="n">
        <v>0.05198848097183417</v>
      </c>
      <c r="N16" s="483" t="n">
        <v>0.7433975512121364</v>
      </c>
      <c r="O16" s="483" t="n">
        <v>2.055485525649577</v>
      </c>
      <c r="P16" s="483" t="n">
        <v>6.207766381550758</v>
      </c>
      <c r="Q16" s="483" t="n">
        <v>11.26746256632091</v>
      </c>
      <c r="R16" s="483" t="n">
        <v>1.31319973500008</v>
      </c>
      <c r="S16" s="483" t="n">
        <v>6.104795236951989</v>
      </c>
      <c r="T16" s="482" t="n">
        <v>0.01897729603365754</v>
      </c>
      <c r="U16" s="482" t="n">
        <v>0.1232854957065927</v>
      </c>
      <c r="V16" s="482" t="n">
        <v>-0.007789571312670031</v>
      </c>
      <c r="W16" s="482" t="n">
        <v>-0.06823876146449355</v>
      </c>
      <c r="X16" s="482" t="n">
        <v>0.1105981903247837</v>
      </c>
      <c r="Y16" s="482" t="n">
        <v>0.3346443578968945</v>
      </c>
      <c r="Z16" s="482" t="n">
        <v>0.3346443578968945</v>
      </c>
      <c r="AA16" s="484" t="n">
        <v>0.182180731232368</v>
      </c>
    </row>
    <row r="17" ht="14" customHeight="1">
      <c r="A17" s="147" t="inlineStr">
        <is>
          <t>Chemical (Basic)</t>
        </is>
      </c>
      <c r="B17" s="268" t="n">
        <v>29</v>
      </c>
      <c r="C17" s="482" t="n">
        <v>0.1388470588235294</v>
      </c>
      <c r="D17" s="482" t="n">
        <v>0.02673718088170194</v>
      </c>
      <c r="E17" s="482" t="n">
        <v>0.03724595306864154</v>
      </c>
      <c r="F17" s="482" t="n">
        <v>0.3514831280518912</v>
      </c>
      <c r="G17" s="483" t="n">
        <v>0.6367830669050106</v>
      </c>
      <c r="H17" s="483" t="n">
        <v>1.01224715009899</v>
      </c>
      <c r="I17" s="482" t="n">
        <v>0.08464622289441495</v>
      </c>
      <c r="J17" s="482" t="n">
        <v>0.4580970692608343</v>
      </c>
      <c r="K17" s="482" t="n">
        <v>0.052913</v>
      </c>
      <c r="L17" s="482" t="n">
        <v>0.4983797053780761</v>
      </c>
      <c r="M17" s="482" t="n">
        <v>0.06223833727993208</v>
      </c>
      <c r="N17" s="483" t="n">
        <v>1.490160362392332</v>
      </c>
      <c r="O17" s="483" t="n">
        <v>0.8452190200844562</v>
      </c>
      <c r="P17" s="483" t="n">
        <v>8.56734060962358</v>
      </c>
      <c r="Q17" s="483" t="n">
        <v>28.97652591526095</v>
      </c>
      <c r="R17" s="483" t="n">
        <v>1.117192215568364</v>
      </c>
      <c r="S17" s="483" t="n">
        <v>24.4205095931578</v>
      </c>
      <c r="T17" s="482" t="n">
        <v>0.1620583056461507</v>
      </c>
      <c r="U17" s="482" t="n">
        <v>0.06228182851266156</v>
      </c>
      <c r="V17" s="482" t="n">
        <v>0.03943087210460237</v>
      </c>
      <c r="W17" s="482" t="n">
        <v>1.58652750725472</v>
      </c>
      <c r="X17" s="482" t="n">
        <v>-0.08289888731246041</v>
      </c>
      <c r="Y17" s="482" t="n">
        <v>0.004131630042662541</v>
      </c>
      <c r="Z17" s="482" t="n">
        <v>0.004131630042662593</v>
      </c>
      <c r="AA17" s="484" t="n">
        <v>0.0283228487280309</v>
      </c>
    </row>
    <row r="18" ht="14" customHeight="1">
      <c r="A18" s="147" t="inlineStr">
        <is>
          <t>Chemical (Diversified)</t>
        </is>
      </c>
      <c r="B18" s="268" t="n">
        <v>4</v>
      </c>
      <c r="C18" s="482" t="n">
        <v>0.01438</v>
      </c>
      <c r="D18" s="482" t="n">
        <v>0.03291326738773162</v>
      </c>
      <c r="E18" s="482" t="n">
        <v>0.04054264450971982</v>
      </c>
      <c r="F18" s="482" t="e">
        <v>#DIV/0!</v>
      </c>
      <c r="G18" s="483" t="n">
        <v>0.4061432317900194</v>
      </c>
      <c r="H18" s="483" t="n">
        <v>0.8507028562562596</v>
      </c>
      <c r="I18" s="482" t="n">
        <v>0.07744134738902918</v>
      </c>
      <c r="J18" s="482" t="n">
        <v>0.3903520023839609</v>
      </c>
      <c r="K18" s="482" t="n">
        <v>0.050672</v>
      </c>
      <c r="L18" s="482" t="n">
        <v>0.6378254896102782</v>
      </c>
      <c r="M18" s="482" t="n">
        <v>0.05228720198169102</v>
      </c>
      <c r="N18" s="483" t="n">
        <v>1.265179174579226</v>
      </c>
      <c r="O18" s="483" t="n">
        <v>0.8416904259876704</v>
      </c>
      <c r="P18" s="483" t="n">
        <v>8.385060138547514</v>
      </c>
      <c r="Q18" s="483" t="n">
        <v>24.68665175069393</v>
      </c>
      <c r="R18" s="483" t="n">
        <v>1.083454790000415</v>
      </c>
      <c r="S18" s="483" t="e">
        <v>#DIV/0!</v>
      </c>
      <c r="T18" s="482" t="n">
        <v>0.1669365608117962</v>
      </c>
      <c r="U18" s="482" t="n">
        <v>0.04329912616889043</v>
      </c>
      <c r="V18" s="482" t="n">
        <v>-0.01181023789900392</v>
      </c>
      <c r="W18" s="482" t="n">
        <v>-0.4573548268352295</v>
      </c>
      <c r="X18" s="482" t="n">
        <v>-0.1530208601596703</v>
      </c>
      <c r="Y18" s="482" t="e">
        <v>#DIV/0!</v>
      </c>
      <c r="Z18" s="482" t="e">
        <v>#DIV/0!</v>
      </c>
      <c r="AA18" s="484" t="n">
        <v>0.03435399625080043</v>
      </c>
    </row>
    <row r="19" ht="14" customHeight="1">
      <c r="A19" s="147" t="inlineStr">
        <is>
          <t>Chemical (Specialty)</t>
        </is>
      </c>
      <c r="B19" s="268" t="n">
        <v>59</v>
      </c>
      <c r="C19" s="482" t="n">
        <v>0.08035348837209305</v>
      </c>
      <c r="D19" s="482" t="n">
        <v>0.1217199679517896</v>
      </c>
      <c r="E19" s="482" t="n">
        <v>0.1094944391850362</v>
      </c>
      <c r="F19" s="482" t="n">
        <v>0.2473852554201268</v>
      </c>
      <c r="G19" s="483" t="n">
        <v>0.8244706586041288</v>
      </c>
      <c r="H19" s="483" t="n">
        <v>0.9697828817775749</v>
      </c>
      <c r="I19" s="482" t="n">
        <v>0.08275231652727985</v>
      </c>
      <c r="J19" s="482" t="n">
        <v>0.4230516095475031</v>
      </c>
      <c r="K19" s="482" t="n">
        <v>0.050672</v>
      </c>
      <c r="L19" s="482" t="n">
        <v>0.2300760763965986</v>
      </c>
      <c r="M19" s="482" t="n">
        <v>0.07245679943533023</v>
      </c>
      <c r="N19" s="483" t="n">
        <v>1.105419408431602</v>
      </c>
      <c r="O19" s="483" t="n">
        <v>2.647614549454516</v>
      </c>
      <c r="P19" s="483" t="n">
        <v>13.35926103105675</v>
      </c>
      <c r="Q19" s="483" t="n">
        <v>21.30004179169416</v>
      </c>
      <c r="R19" s="483" t="n">
        <v>2.44973973590539</v>
      </c>
      <c r="S19" s="483" t="n">
        <v>196.7740894083461</v>
      </c>
      <c r="T19" s="482" t="n">
        <v>0.237965133388361</v>
      </c>
      <c r="U19" s="482" t="n">
        <v>0.08475369021026359</v>
      </c>
      <c r="V19" s="482" t="n">
        <v>0.04054859893848765</v>
      </c>
      <c r="W19" s="482" t="n">
        <v>0.51614040151385</v>
      </c>
      <c r="X19" s="482" t="n">
        <v>0.03498785397105562</v>
      </c>
      <c r="Y19" s="482" t="n">
        <v>1.300093582302456</v>
      </c>
      <c r="Z19" s="482" t="n">
        <v>1.300093582302456</v>
      </c>
      <c r="AA19" s="484" t="n">
        <v>0.1245389376172581</v>
      </c>
    </row>
    <row r="20" ht="14" customHeight="1">
      <c r="A20" s="147" t="inlineStr">
        <is>
          <t>Coal &amp; Related Energy</t>
        </is>
      </c>
      <c r="B20" s="268" t="n">
        <v>16</v>
      </c>
      <c r="C20" s="482" t="n">
        <v>0.1923857142857143</v>
      </c>
      <c r="D20" s="482" t="n">
        <v>-0.0401718131419366</v>
      </c>
      <c r="E20" s="482" t="n">
        <v>-0.04759627013362316</v>
      </c>
      <c r="F20" s="482" t="n">
        <v>0.09671848013816925</v>
      </c>
      <c r="G20" s="483" t="n">
        <v>1.182438199934653</v>
      </c>
      <c r="H20" s="483" t="n">
        <v>1.070993191489764</v>
      </c>
      <c r="I20" s="482" t="n">
        <v>0.08726629634044347</v>
      </c>
      <c r="J20" s="482" t="n">
        <v>0.6431490912216578</v>
      </c>
      <c r="K20" s="482" t="n">
        <v>0.052913</v>
      </c>
      <c r="L20" s="482" t="n">
        <v>0.06666777815396692</v>
      </c>
      <c r="M20" s="482" t="n">
        <v>0.08409414036479609</v>
      </c>
      <c r="N20" s="483" t="n">
        <v>1.291228364614905</v>
      </c>
      <c r="O20" s="483" t="n">
        <v>2.536915693474506</v>
      </c>
      <c r="P20" s="483" t="n">
        <v>10.36899625026826</v>
      </c>
      <c r="Q20" s="483" t="inlineStr">
        <is>
          <t>NA</t>
        </is>
      </c>
      <c r="R20" s="483" t="n">
        <v>2.247325104045218</v>
      </c>
      <c r="S20" s="483" t="n">
        <v>17.00758893703042</v>
      </c>
      <c r="T20" s="482" t="n">
        <v>0.1017622349812343</v>
      </c>
      <c r="U20" s="482" t="n">
        <v>0.09362440528109807</v>
      </c>
      <c r="V20" s="482" t="n">
        <v>-0.03117202759044843</v>
      </c>
      <c r="W20" s="482" t="inlineStr">
        <is>
          <t>NA</t>
        </is>
      </c>
      <c r="X20" s="482" t="n">
        <v>-0.02513240711000554</v>
      </c>
      <c r="Y20" s="482" t="n">
        <v>0.0008172413793103449</v>
      </c>
      <c r="Z20" s="482" t="n">
        <v>0.000817241379310385</v>
      </c>
      <c r="AA20" s="484" t="n">
        <v>-0.0384447281918953</v>
      </c>
    </row>
    <row r="21" ht="14" customHeight="1">
      <c r="A21" s="147" t="inlineStr">
        <is>
          <t>Computer Services</t>
        </is>
      </c>
      <c r="B21" s="268" t="n">
        <v>64</v>
      </c>
      <c r="C21" s="482" t="n">
        <v>0.2709984210526316</v>
      </c>
      <c r="D21" s="482" t="n">
        <v>0.07409334745931717</v>
      </c>
      <c r="E21" s="482" t="n">
        <v>0.2634856323685177</v>
      </c>
      <c r="F21" s="482" t="n">
        <v>0.2256371132436134</v>
      </c>
      <c r="G21" s="483" t="n">
        <v>0.9617009989891427</v>
      </c>
      <c r="H21" s="483" t="n">
        <v>1.087855903473369</v>
      </c>
      <c r="I21" s="482" t="n">
        <v>0.08801837329491224</v>
      </c>
      <c r="J21" s="482" t="n">
        <v>0.5342530314325552</v>
      </c>
      <c r="K21" s="482" t="n">
        <v>0.052913</v>
      </c>
      <c r="L21" s="482" t="n">
        <v>0.2006402717696322</v>
      </c>
      <c r="M21" s="482" t="n">
        <v>0.07832070198141003</v>
      </c>
      <c r="N21" s="483" t="n">
        <v>5.189890691696159</v>
      </c>
      <c r="O21" s="483" t="n">
        <v>1.477094248399097</v>
      </c>
      <c r="P21" s="483" t="n">
        <v>14.09504969477454</v>
      </c>
      <c r="Q21" s="483" t="n">
        <v>19.25198547899857</v>
      </c>
      <c r="R21" s="483" t="n">
        <v>4.728265307993433</v>
      </c>
      <c r="S21" s="483" t="n">
        <v>51.59929505052196</v>
      </c>
      <c r="T21" s="482" t="n">
        <v>0.134002219012555</v>
      </c>
      <c r="U21" s="482" t="n">
        <v>0.009509770439480392</v>
      </c>
      <c r="V21" s="482" t="n">
        <v>0.01911750201222481</v>
      </c>
      <c r="W21" s="482" t="n">
        <v>0.4440778108641379</v>
      </c>
      <c r="X21" s="482" t="n">
        <v>0.1825059226961266</v>
      </c>
      <c r="Y21" s="482" t="n">
        <v>0.5099205071561956</v>
      </c>
      <c r="Z21" s="482" t="n">
        <v>0.5099205071561956</v>
      </c>
      <c r="AA21" s="484" t="n">
        <v>0.07810553077104378</v>
      </c>
    </row>
    <row r="22" ht="14" customHeight="1">
      <c r="A22" s="147" t="inlineStr">
        <is>
          <t>Computers/Peripherals</t>
        </is>
      </c>
      <c r="B22" s="268" t="n">
        <v>36</v>
      </c>
      <c r="C22" s="482" t="n">
        <v>0.06710869565217391</v>
      </c>
      <c r="D22" s="482" t="n">
        <v>0.22484874696685</v>
      </c>
      <c r="E22" s="482" t="n">
        <v>0.4476035274383902</v>
      </c>
      <c r="F22" s="482" t="n">
        <v>0.1535453934728211</v>
      </c>
      <c r="G22" s="483" t="n">
        <v>1.324587039677791</v>
      </c>
      <c r="H22" s="483" t="n">
        <v>1.350329208585168</v>
      </c>
      <c r="I22" s="482" t="n">
        <v>0.09972468270289851</v>
      </c>
      <c r="J22" s="482" t="n">
        <v>0.5457679517178851</v>
      </c>
      <c r="K22" s="482" t="n">
        <v>0.052913</v>
      </c>
      <c r="L22" s="482" t="n">
        <v>0.04420310378049363</v>
      </c>
      <c r="M22" s="482" t="n">
        <v>0.09707073132665844</v>
      </c>
      <c r="N22" s="483" t="n">
        <v>3.619788749768668</v>
      </c>
      <c r="O22" s="483" t="n">
        <v>6.629803188728592</v>
      </c>
      <c r="P22" s="483" t="n">
        <v>25.4244916442558</v>
      </c>
      <c r="Q22" s="483" t="n">
        <v>29.35888130009311</v>
      </c>
      <c r="R22" s="483" t="n">
        <v>34.08206122543692</v>
      </c>
      <c r="S22" s="483" t="n">
        <v>81.1319884247503</v>
      </c>
      <c r="T22" s="482" t="n">
        <v>-0.04705741851421019</v>
      </c>
      <c r="U22" s="482" t="n">
        <v>0.02947135048201252</v>
      </c>
      <c r="V22" s="482" t="n">
        <v>0.0289943719244913</v>
      </c>
      <c r="W22" s="482" t="n">
        <v>0.2136889975447425</v>
      </c>
      <c r="X22" s="482" t="n">
        <v>-0.001741316040602497</v>
      </c>
      <c r="Y22" s="482" t="n">
        <v>0.1603021523436578</v>
      </c>
      <c r="Z22" s="482" t="n">
        <v>0.1603021523436579</v>
      </c>
      <c r="AA22" s="484" t="n">
        <v>0.2292365980385029</v>
      </c>
    </row>
    <row r="23" ht="14" customHeight="1">
      <c r="A23" s="147" t="inlineStr">
        <is>
          <t>Construction Supplies</t>
        </is>
      </c>
      <c r="B23" s="268" t="n">
        <v>40</v>
      </c>
      <c r="C23" s="482" t="n">
        <v>0.1370392857142857</v>
      </c>
      <c r="D23" s="482" t="n">
        <v>0.1522858796620313</v>
      </c>
      <c r="E23" s="482" t="n">
        <v>0.1670606286751148</v>
      </c>
      <c r="F23" s="482" t="n">
        <v>0.2254751009080227</v>
      </c>
      <c r="G23" s="483" t="n">
        <v>1.046829697375817</v>
      </c>
      <c r="H23" s="483" t="n">
        <v>1.150356056851164</v>
      </c>
      <c r="I23" s="482" t="n">
        <v>0.0908058801355619</v>
      </c>
      <c r="J23" s="482" t="n">
        <v>0.3551332113586579</v>
      </c>
      <c r="K23" s="482" t="n">
        <v>0.050672</v>
      </c>
      <c r="L23" s="482" t="n">
        <v>0.1498185452487142</v>
      </c>
      <c r="M23" s="482" t="n">
        <v>0.08289517926725504</v>
      </c>
      <c r="N23" s="483" t="n">
        <v>1.446946369196375</v>
      </c>
      <c r="O23" s="483" t="n">
        <v>3.231777696009379</v>
      </c>
      <c r="P23" s="483" t="n">
        <v>16.81867012821988</v>
      </c>
      <c r="Q23" s="483" t="n">
        <v>21.14540198879197</v>
      </c>
      <c r="R23" s="483" t="n">
        <v>5.455603344493196</v>
      </c>
      <c r="S23" s="483" t="n">
        <v>42.74757028738539</v>
      </c>
      <c r="T23" s="482" t="n">
        <v>0.2255852299695207</v>
      </c>
      <c r="U23" s="482" t="n">
        <v>0.05536462838365851</v>
      </c>
      <c r="V23" s="482" t="n">
        <v>0.06616312084363886</v>
      </c>
      <c r="W23" s="482" t="n">
        <v>0.6300761309589157</v>
      </c>
      <c r="X23" s="482" t="n">
        <v>0.2285565682680814</v>
      </c>
      <c r="Y23" s="482" t="n">
        <v>0.3349260979442911</v>
      </c>
      <c r="Z23" s="482" t="n">
        <v>0.3349260979442911</v>
      </c>
      <c r="AA23" s="484" t="n">
        <v>0.1521946655137339</v>
      </c>
    </row>
    <row r="24" ht="14" customHeight="1">
      <c r="A24" s="147" t="inlineStr">
        <is>
          <t>Diversified</t>
        </is>
      </c>
      <c r="B24" s="268" t="n">
        <v>20</v>
      </c>
      <c r="C24" s="482" t="n">
        <v>0.08903</v>
      </c>
      <c r="D24" s="482" t="n">
        <v>0.2272932665965972</v>
      </c>
      <c r="E24" s="482" t="n">
        <v>0.1482135655711147</v>
      </c>
      <c r="F24" s="482" t="n">
        <v>0.1755667455713286</v>
      </c>
      <c r="G24" s="483" t="n">
        <v>0.8430962646682882</v>
      </c>
      <c r="H24" s="483" t="n">
        <v>0.8809551761105191</v>
      </c>
      <c r="I24" s="482" t="n">
        <v>0.07879060085452916</v>
      </c>
      <c r="J24" s="482" t="n">
        <v>0.2841172358254972</v>
      </c>
      <c r="K24" s="482" t="n">
        <v>0.047306</v>
      </c>
      <c r="L24" s="482" t="n">
        <v>0.1345940155714698</v>
      </c>
      <c r="M24" s="482" t="n">
        <v>0.07296118587169716</v>
      </c>
      <c r="N24" s="483" t="n">
        <v>0.676059005857545</v>
      </c>
      <c r="O24" s="483" t="n">
        <v>3.080144968544374</v>
      </c>
      <c r="P24" s="483" t="n">
        <v>11.41546209484988</v>
      </c>
      <c r="Q24" s="483" t="n">
        <v>13.48647058887652</v>
      </c>
      <c r="R24" s="483" t="n">
        <v>1.782954165773192</v>
      </c>
      <c r="S24" s="483" t="n">
        <v>15.73100377690292</v>
      </c>
      <c r="T24" s="482" t="n">
        <v>0.007736226390901585</v>
      </c>
      <c r="U24" s="482" t="n">
        <v>0.05039313828018641</v>
      </c>
      <c r="V24" s="482" t="n">
        <v>0.02315858813621141</v>
      </c>
      <c r="W24" s="482" t="n">
        <v>0.1826562870176915</v>
      </c>
      <c r="X24" s="482" t="n">
        <v>0.1137324413574475</v>
      </c>
      <c r="Y24" s="482" t="n">
        <v>0.06588241094241719</v>
      </c>
      <c r="Z24" s="482" t="n">
        <v>0.0658824109424172</v>
      </c>
      <c r="AA24" s="484" t="n">
        <v>0.2283328306570388</v>
      </c>
    </row>
    <row r="25" ht="14" customHeight="1">
      <c r="A25" s="147" t="inlineStr">
        <is>
          <t>Drugs (Biotechnology)</t>
        </is>
      </c>
      <c r="B25" s="268" t="n">
        <v>496</v>
      </c>
      <c r="C25" s="482" t="n">
        <v>0.2892677777777777</v>
      </c>
      <c r="D25" s="482" t="n">
        <v>0.08973321008991049</v>
      </c>
      <c r="E25" s="482" t="n">
        <v>0.03525374326558564</v>
      </c>
      <c r="F25" s="482" t="n">
        <v>0.1575395745508596</v>
      </c>
      <c r="G25" s="483" t="n">
        <v>1.079453865168337</v>
      </c>
      <c r="H25" s="483" t="n">
        <v>1.135265032548857</v>
      </c>
      <c r="I25" s="482" t="n">
        <v>0.09013282045167903</v>
      </c>
      <c r="J25" s="482" t="n">
        <v>0.7567979803880647</v>
      </c>
      <c r="K25" s="482" t="n">
        <v>0.060195</v>
      </c>
      <c r="L25" s="482" t="n">
        <v>0.1153559369912528</v>
      </c>
      <c r="M25" s="482" t="n">
        <v>0.08494335246520258</v>
      </c>
      <c r="N25" s="483" t="n">
        <v>0.8199548262974856</v>
      </c>
      <c r="O25" s="483" t="n">
        <v>7.918045526205239</v>
      </c>
      <c r="P25" s="483" t="n">
        <v>15.77897160281244</v>
      </c>
      <c r="Q25" s="483" t="n">
        <v>68.97132135165363</v>
      </c>
      <c r="R25" s="483" t="n">
        <v>8.216863751697744</v>
      </c>
      <c r="S25" s="483" t="n">
        <v>64.27555677843166</v>
      </c>
      <c r="T25" s="482" t="n">
        <v>0.1336148141725305</v>
      </c>
      <c r="U25" s="482" t="n">
        <v>0.03286308289496809</v>
      </c>
      <c r="V25" s="482" t="n">
        <v>-0.03574180481565756</v>
      </c>
      <c r="W25" s="482" t="n">
        <v>-0.4502050441750096</v>
      </c>
      <c r="X25" s="482" t="n">
        <v>-0.0567224880686716</v>
      </c>
      <c r="Y25" s="482" t="n">
        <v>0.001170555208689576</v>
      </c>
      <c r="Z25" s="482" t="n">
        <v>0.001170555208689583</v>
      </c>
      <c r="AA25" s="484" t="n">
        <v>0.08953315753907995</v>
      </c>
    </row>
    <row r="26" ht="14" customHeight="1">
      <c r="A26" s="147" t="inlineStr">
        <is>
          <t>Drugs (Pharmaceutical)</t>
        </is>
      </c>
      <c r="B26" s="268" t="n">
        <v>228</v>
      </c>
      <c r="C26" s="482" t="n">
        <v>0.1844677500000001</v>
      </c>
      <c r="D26" s="482" t="n">
        <v>0.2953969998081675</v>
      </c>
      <c r="E26" s="482" t="n">
        <v>0.1694954828709013</v>
      </c>
      <c r="F26" s="482" t="n">
        <v>0.1680091192364639</v>
      </c>
      <c r="G26" s="483" t="n">
        <v>0.915135973481584</v>
      </c>
      <c r="H26" s="483" t="n">
        <v>0.9828330980612211</v>
      </c>
      <c r="I26" s="482" t="n">
        <v>0.08333435617353047</v>
      </c>
      <c r="J26" s="482" t="n">
        <v>0.7664492440646036</v>
      </c>
      <c r="K26" s="482" t="n">
        <v>0.060195</v>
      </c>
      <c r="L26" s="482" t="n">
        <v>0.1269202637832653</v>
      </c>
      <c r="M26" s="482" t="n">
        <v>0.07848751166460263</v>
      </c>
      <c r="N26" s="483" t="n">
        <v>1.111658554763212</v>
      </c>
      <c r="O26" s="483" t="n">
        <v>6.239336284469536</v>
      </c>
      <c r="P26" s="483" t="n">
        <v>15.24799680842651</v>
      </c>
      <c r="Q26" s="483" t="n">
        <v>20.32316741208734</v>
      </c>
      <c r="R26" s="483" t="n">
        <v>6.64396392026399</v>
      </c>
      <c r="S26" s="483" t="n">
        <v>55.66767407461499</v>
      </c>
      <c r="T26" s="482" t="n">
        <v>0.3208850097389138</v>
      </c>
      <c r="U26" s="482" t="n">
        <v>0.05568304736958756</v>
      </c>
      <c r="V26" s="482" t="n">
        <v>0.01117921857190987</v>
      </c>
      <c r="W26" s="482" t="n">
        <v>0.09997397021658551</v>
      </c>
      <c r="X26" s="482" t="n">
        <v>0.2404409957343273</v>
      </c>
      <c r="Y26" s="482" t="n">
        <v>0.5863499201100111</v>
      </c>
      <c r="Z26" s="482" t="n">
        <v>0.5863499201100111</v>
      </c>
      <c r="AA26" s="484" t="n">
        <v>0.2724550874475878</v>
      </c>
    </row>
    <row r="27" ht="14" customHeight="1">
      <c r="A27" s="147" t="inlineStr">
        <is>
          <t>Education</t>
        </is>
      </c>
      <c r="B27" s="268" t="n">
        <v>32</v>
      </c>
      <c r="C27" s="482" t="n">
        <v>0.07738312500000001</v>
      </c>
      <c r="D27" s="482" t="n">
        <v>0.1401317701349414</v>
      </c>
      <c r="E27" s="482" t="n">
        <v>0.1594415390185148</v>
      </c>
      <c r="F27" s="482" t="n">
        <v>0.3043662638754834</v>
      </c>
      <c r="G27" s="483" t="n">
        <v>0.719599829329938</v>
      </c>
      <c r="H27" s="483" t="n">
        <v>0.7809055888612572</v>
      </c>
      <c r="I27" s="482" t="n">
        <v>0.07432838926321207</v>
      </c>
      <c r="J27" s="482" t="n">
        <v>0.4723775113573218</v>
      </c>
      <c r="K27" s="482" t="n">
        <v>0.052913</v>
      </c>
      <c r="L27" s="482" t="n">
        <v>0.196003402054853</v>
      </c>
      <c r="M27" s="482" t="n">
        <v>0.06753811810806143</v>
      </c>
      <c r="N27" s="483" t="n">
        <v>1.627453545768209</v>
      </c>
      <c r="O27" s="483" t="n">
        <v>1.990213812174477</v>
      </c>
      <c r="P27" s="483" t="n">
        <v>9.26128390279208</v>
      </c>
      <c r="Q27" s="483" t="n">
        <v>14.48687797703727</v>
      </c>
      <c r="R27" s="483" t="n">
        <v>2.603286661509442</v>
      </c>
      <c r="S27" s="483" t="n">
        <v>26.96578471196609</v>
      </c>
      <c r="T27" s="482" t="n">
        <v>0.1003109847441636</v>
      </c>
      <c r="U27" s="482" t="n">
        <v>0.02972430076639751</v>
      </c>
      <c r="V27" s="482" t="n">
        <v>0.00648504587962242</v>
      </c>
      <c r="W27" s="482" t="n">
        <v>0.2352449590213098</v>
      </c>
      <c r="X27" s="482" t="n">
        <v>0.1590483920214653</v>
      </c>
      <c r="Y27" s="482" t="n">
        <v>0.1382943211289512</v>
      </c>
      <c r="Z27" s="482" t="n">
        <v>0.1382943211289511</v>
      </c>
      <c r="AA27" s="484" t="n">
        <v>0.1374219856741285</v>
      </c>
    </row>
    <row r="28" ht="14" customHeight="1">
      <c r="A28" s="147" t="inlineStr">
        <is>
          <t>Electrical Equipment</t>
        </is>
      </c>
      <c r="B28" s="268" t="n">
        <v>112</v>
      </c>
      <c r="C28" s="482" t="n">
        <v>0.1917454545454546</v>
      </c>
      <c r="D28" s="482" t="n">
        <v>0.09534667101101517</v>
      </c>
      <c r="E28" s="482" t="n">
        <v>0.1559560391311139</v>
      </c>
      <c r="F28" s="482" t="n">
        <v>0.2517917634827783</v>
      </c>
      <c r="G28" s="483" t="n">
        <v>1.189807031806981</v>
      </c>
      <c r="H28" s="483" t="n">
        <v>1.251123854607469</v>
      </c>
      <c r="I28" s="482" t="n">
        <v>0.09530012391549311</v>
      </c>
      <c r="J28" s="482" t="n">
        <v>0.7271388016174681</v>
      </c>
      <c r="K28" s="482" t="n">
        <v>0.060195</v>
      </c>
      <c r="L28" s="482" t="n">
        <v>0.1071685968794686</v>
      </c>
      <c r="M28" s="482" t="n">
        <v>0.08992520361989993</v>
      </c>
      <c r="N28" s="483" t="n">
        <v>2.029528967054473</v>
      </c>
      <c r="O28" s="483" t="n">
        <v>4.420754883373023</v>
      </c>
      <c r="P28" s="483" t="n">
        <v>24.58630413346715</v>
      </c>
      <c r="Q28" s="483" t="n">
        <v>43.1933182285843</v>
      </c>
      <c r="R28" s="483" t="n">
        <v>6.506731641045638</v>
      </c>
      <c r="S28" s="483" t="n">
        <v>80.03961165936393</v>
      </c>
      <c r="T28" s="482" t="n">
        <v>0.294372463939175</v>
      </c>
      <c r="U28" s="482" t="n">
        <v>0.04775292131505469</v>
      </c>
      <c r="V28" s="482" t="n">
        <v>0.03083995902522801</v>
      </c>
      <c r="W28" s="482" t="n">
        <v>0.5468269978345046</v>
      </c>
      <c r="X28" s="482" t="n">
        <v>0.01525454440373029</v>
      </c>
      <c r="Y28" s="482" t="n">
        <v>2.296858140874997</v>
      </c>
      <c r="Z28" s="482" t="n">
        <v>2.296858140874997</v>
      </c>
      <c r="AA28" s="484" t="n">
        <v>0.09950868612345491</v>
      </c>
    </row>
    <row r="29" ht="14" customHeight="1">
      <c r="A29" s="147" t="inlineStr">
        <is>
          <t>Electronics (Consumer &amp; Office)</t>
        </is>
      </c>
      <c r="B29" s="268" t="n">
        <v>8</v>
      </c>
      <c r="C29" s="482" t="n">
        <v>-0.03486</v>
      </c>
      <c r="D29" s="482" t="n">
        <v>-0.04488621563380616</v>
      </c>
      <c r="E29" s="482" t="n">
        <v>-0.08345514740503091</v>
      </c>
      <c r="F29" s="482" t="e">
        <v>#DIV/0!</v>
      </c>
      <c r="G29" s="483" t="n">
        <v>0.9273766123201671</v>
      </c>
      <c r="H29" s="483" t="n">
        <v>0.8659780184815811</v>
      </c>
      <c r="I29" s="482" t="n">
        <v>0.07812261962427852</v>
      </c>
      <c r="J29" s="482" t="n">
        <v>0.7018361349746528</v>
      </c>
      <c r="K29" s="482" t="n">
        <v>0.060195</v>
      </c>
      <c r="L29" s="482" t="n">
        <v>0.05485895274423452</v>
      </c>
      <c r="M29" s="482" t="n">
        <v>0.07631357052138382</v>
      </c>
      <c r="N29" s="483" t="n">
        <v>5.566546410452429</v>
      </c>
      <c r="O29" s="483" t="n">
        <v>0.9098334859666329</v>
      </c>
      <c r="P29" s="483" t="n">
        <v>30.69739733032995</v>
      </c>
      <c r="Q29" s="483" t="inlineStr">
        <is>
          <t>NA</t>
        </is>
      </c>
      <c r="R29" s="483" t="n">
        <v>3.85203290618573</v>
      </c>
      <c r="S29" s="483" t="e">
        <v>#DIV/0!</v>
      </c>
      <c r="T29" s="482" t="n">
        <v>0.1115560396883658</v>
      </c>
      <c r="U29" s="482" t="n">
        <v>0.01429625770599983</v>
      </c>
      <c r="V29" s="482" t="n">
        <v>-0.03840338787720921</v>
      </c>
      <c r="W29" s="482" t="inlineStr">
        <is>
          <t>NA</t>
        </is>
      </c>
      <c r="X29" s="482" t="n">
        <v>-0.2880927953264372</v>
      </c>
      <c r="Y29" s="482" t="e">
        <v>#DIV/0!</v>
      </c>
      <c r="Z29" s="482" t="e">
        <v>#DIV/0!</v>
      </c>
      <c r="AA29" s="484" t="n">
        <v>-0.06264269394121706</v>
      </c>
    </row>
    <row r="30" ht="14" customHeight="1">
      <c r="A30" s="147" t="inlineStr">
        <is>
          <t>Electronics (General)</t>
        </is>
      </c>
      <c r="B30" s="268" t="n">
        <v>114</v>
      </c>
      <c r="C30" s="482" t="n">
        <v>0.07268302631578946</v>
      </c>
      <c r="D30" s="482" t="n">
        <v>0.1042317781378465</v>
      </c>
      <c r="E30" s="482" t="n">
        <v>0.1791172540525823</v>
      </c>
      <c r="F30" s="482" t="n">
        <v>0.2032217978828484</v>
      </c>
      <c r="G30" s="483" t="n">
        <v>0.9374545595854545</v>
      </c>
      <c r="H30" s="483" t="n">
        <v>0.9714771307987942</v>
      </c>
      <c r="I30" s="482" t="n">
        <v>0.08282788003362622</v>
      </c>
      <c r="J30" s="482" t="n">
        <v>0.5183878524748988</v>
      </c>
      <c r="K30" s="482" t="n">
        <v>0.052913</v>
      </c>
      <c r="L30" s="482" t="n">
        <v>0.09919458837333321</v>
      </c>
      <c r="M30" s="482" t="n">
        <v>0.07854831500880348</v>
      </c>
      <c r="N30" s="483" t="n">
        <v>2.383494290324026</v>
      </c>
      <c r="O30" s="483" t="n">
        <v>3.206162776853793</v>
      </c>
      <c r="P30" s="483" t="n">
        <v>19.99114248979785</v>
      </c>
      <c r="Q30" s="483" t="n">
        <v>29.75669159380908</v>
      </c>
      <c r="R30" s="483" t="n">
        <v>4.968967691522418</v>
      </c>
      <c r="S30" s="483" t="n">
        <v>48.44335194607289</v>
      </c>
      <c r="T30" s="482" t="n">
        <v>0.2091771210122774</v>
      </c>
      <c r="U30" s="482" t="n">
        <v>0.03304188182228249</v>
      </c>
      <c r="V30" s="482" t="n">
        <v>0.05680134662843197</v>
      </c>
      <c r="W30" s="482" t="n">
        <v>0.7717649554371149</v>
      </c>
      <c r="X30" s="482" t="n">
        <v>0.1261573075627564</v>
      </c>
      <c r="Y30" s="482" t="n">
        <v>0.198774811280125</v>
      </c>
      <c r="Z30" s="482" t="n">
        <v>0.198774811280125</v>
      </c>
      <c r="AA30" s="484" t="n">
        <v>0.1060652197146301</v>
      </c>
    </row>
    <row r="31" ht="14" customHeight="1">
      <c r="A31" s="147" t="inlineStr">
        <is>
          <t>Engineering/Construction</t>
        </is>
      </c>
      <c r="B31" s="268" t="n">
        <v>48</v>
      </c>
      <c r="C31" s="482" t="n">
        <v>0.1170110714285714</v>
      </c>
      <c r="D31" s="482" t="n">
        <v>0.0648772140059397</v>
      </c>
      <c r="E31" s="482" t="n">
        <v>0.2531760347582192</v>
      </c>
      <c r="F31" s="482" t="n">
        <v>0.2394811740203084</v>
      </c>
      <c r="G31" s="483" t="n">
        <v>1.137436783693752</v>
      </c>
      <c r="H31" s="483" t="n">
        <v>1.209972261135115</v>
      </c>
      <c r="I31" s="482" t="n">
        <v>0.09346476284662614</v>
      </c>
      <c r="J31" s="482" t="n">
        <v>0.4592364631713382</v>
      </c>
      <c r="K31" s="482" t="n">
        <v>0.052913</v>
      </c>
      <c r="L31" s="482" t="n">
        <v>0.1228953077938518</v>
      </c>
      <c r="M31" s="482" t="n">
        <v>0.08685545161468271</v>
      </c>
      <c r="N31" s="483" t="n">
        <v>4.361448663715637</v>
      </c>
      <c r="O31" s="483" t="n">
        <v>1.735043149783517</v>
      </c>
      <c r="P31" s="483" t="n">
        <v>17.17943626850942</v>
      </c>
      <c r="Q31" s="483" t="n">
        <v>25.17122209401257</v>
      </c>
      <c r="R31" s="483" t="n">
        <v>5.49046865935612</v>
      </c>
      <c r="S31" s="483" t="n">
        <v>63.33204875099555</v>
      </c>
      <c r="T31" s="482" t="n">
        <v>0.1937659510783999</v>
      </c>
      <c r="U31" s="482" t="n">
        <v>0.02232708798998793</v>
      </c>
      <c r="V31" s="482" t="n">
        <v>0.04846666970432578</v>
      </c>
      <c r="W31" s="482" t="n">
        <v>1.124400477495635</v>
      </c>
      <c r="X31" s="482" t="n">
        <v>0.2613749950535173</v>
      </c>
      <c r="Y31" s="482" t="n">
        <v>0.08329543326601473</v>
      </c>
      <c r="Z31" s="482" t="n">
        <v>0.08329543326601474</v>
      </c>
      <c r="AA31" s="484" t="n">
        <v>0.06757015559476075</v>
      </c>
    </row>
    <row r="32" ht="14" customHeight="1">
      <c r="A32" s="147" t="inlineStr">
        <is>
          <t>Entertainment</t>
        </is>
      </c>
      <c r="B32" s="268" t="n">
        <v>92</v>
      </c>
      <c r="C32" s="482" t="n">
        <v>0.1643078787878788</v>
      </c>
      <c r="D32" s="482" t="n">
        <v>0.1060478521864998</v>
      </c>
      <c r="E32" s="482" t="n">
        <v>0.1242059980108462</v>
      </c>
      <c r="F32" s="482" t="n">
        <v>0.1260472514420455</v>
      </c>
      <c r="G32" s="483" t="n">
        <v>0.7628468307830948</v>
      </c>
      <c r="H32" s="483" t="n">
        <v>0.8251696372652437</v>
      </c>
      <c r="I32" s="482" t="n">
        <v>0.07630256582202988</v>
      </c>
      <c r="J32" s="482" t="n">
        <v>0.4870659020881054</v>
      </c>
      <c r="K32" s="482" t="n">
        <v>0.052913</v>
      </c>
      <c r="L32" s="482" t="n">
        <v>0.1372904099677242</v>
      </c>
      <c r="M32" s="482" t="n">
        <v>0.07127529087570077</v>
      </c>
      <c r="N32" s="483" t="n">
        <v>1.391405938857572</v>
      </c>
      <c r="O32" s="483" t="n">
        <v>4.333824657929714</v>
      </c>
      <c r="P32" s="483" t="n">
        <v>19.41126270013048</v>
      </c>
      <c r="Q32" s="483" t="n">
        <v>38.91956102277865</v>
      </c>
      <c r="R32" s="483" t="n">
        <v>4.798101501048052</v>
      </c>
      <c r="S32" s="483" t="n">
        <v>108.6305934645842</v>
      </c>
      <c r="T32" s="482" t="n">
        <v>0.004905050516759029</v>
      </c>
      <c r="U32" s="482" t="n">
        <v>0.04713952806591256</v>
      </c>
      <c r="V32" s="482" t="n">
        <v>-0.01252624442103633</v>
      </c>
      <c r="W32" s="482" t="n">
        <v>-0.1555124725408946</v>
      </c>
      <c r="X32" s="482" t="n">
        <v>0.06092763111377839</v>
      </c>
      <c r="Y32" s="482" t="n">
        <v>0.2287875805806028</v>
      </c>
      <c r="Z32" s="482" t="n">
        <v>0.2287875805806028</v>
      </c>
      <c r="AA32" s="484" t="n">
        <v>0.106002180528468</v>
      </c>
    </row>
    <row r="33" ht="14" customHeight="1">
      <c r="A33" s="147" t="inlineStr">
        <is>
          <t>Environmental &amp; Waste Services</t>
        </is>
      </c>
      <c r="B33" s="268" t="n">
        <v>53</v>
      </c>
      <c r="C33" s="482" t="n">
        <v>0.2170217391304348</v>
      </c>
      <c r="D33" s="482" t="n">
        <v>0.146085563073154</v>
      </c>
      <c r="E33" s="482" t="n">
        <v>0.3175479653838472</v>
      </c>
      <c r="F33" s="482" t="n">
        <v>0.2091644504425832</v>
      </c>
      <c r="G33" s="483" t="n">
        <v>0.8247690956344971</v>
      </c>
      <c r="H33" s="483" t="n">
        <v>0.9454812982377585</v>
      </c>
      <c r="I33" s="482" t="n">
        <v>0.08166846590140403</v>
      </c>
      <c r="J33" s="482" t="n">
        <v>0.5491271709973529</v>
      </c>
      <c r="K33" s="482" t="n">
        <v>0.052913</v>
      </c>
      <c r="L33" s="482" t="n">
        <v>0.1765987123152963</v>
      </c>
      <c r="M33" s="482" t="n">
        <v>0.07425419573500486</v>
      </c>
      <c r="N33" s="483" t="n">
        <v>2.29985091030874</v>
      </c>
      <c r="O33" s="483" t="n">
        <v>3.700675007301858</v>
      </c>
      <c r="P33" s="483" t="n">
        <v>15.61307867351459</v>
      </c>
      <c r="Q33" s="483" t="n">
        <v>24.82665513831785</v>
      </c>
      <c r="R33" s="483" t="n">
        <v>6.585458523984577</v>
      </c>
      <c r="S33" s="483" t="n">
        <v>66.54956588056456</v>
      </c>
      <c r="T33" s="482" t="n">
        <v>0.1003871840673084</v>
      </c>
      <c r="U33" s="482" t="n">
        <v>0.08278174838685159</v>
      </c>
      <c r="V33" s="482" t="n">
        <v>0.1343840294975422</v>
      </c>
      <c r="W33" s="482" t="n">
        <v>1.214019282675152</v>
      </c>
      <c r="X33" s="482" t="n">
        <v>0.1973829594869194</v>
      </c>
      <c r="Y33" s="482" t="n">
        <v>0.3980238261785846</v>
      </c>
      <c r="Z33" s="482" t="n">
        <v>0.3980238261785846</v>
      </c>
      <c r="AA33" s="484" t="n">
        <v>0.148530814081221</v>
      </c>
    </row>
    <row r="34" ht="14" customHeight="1">
      <c r="A34" s="147" t="inlineStr">
        <is>
          <t>Farming/Agriculture</t>
        </is>
      </c>
      <c r="B34" s="268" t="n">
        <v>35</v>
      </c>
      <c r="C34" s="482" t="n">
        <v>0.1402195238095238</v>
      </c>
      <c r="D34" s="482" t="n">
        <v>0.05445318703912747</v>
      </c>
      <c r="E34" s="482" t="n">
        <v>0.07277942934792668</v>
      </c>
      <c r="F34" s="482" t="n">
        <v>0.2034096333164764</v>
      </c>
      <c r="G34" s="483" t="n">
        <v>0.8457836746022086</v>
      </c>
      <c r="H34" s="483" t="n">
        <v>1.129173740945637</v>
      </c>
      <c r="I34" s="482" t="n">
        <v>0.08986114884617541</v>
      </c>
      <c r="J34" s="482" t="n">
        <v>0.507938158066483</v>
      </c>
      <c r="K34" s="482" t="n">
        <v>0.052913</v>
      </c>
      <c r="L34" s="482" t="n">
        <v>0.3414488697161519</v>
      </c>
      <c r="M34" s="482" t="n">
        <v>0.07272847417372198</v>
      </c>
      <c r="N34" s="483" t="n">
        <v>1.479434561224638</v>
      </c>
      <c r="O34" s="483" t="n">
        <v>1.340150482336105</v>
      </c>
      <c r="P34" s="483" t="n">
        <v>16.03769947490355</v>
      </c>
      <c r="Q34" s="483" t="n">
        <v>23.73567634647184</v>
      </c>
      <c r="R34" s="483" t="n">
        <v>2.422866951920291</v>
      </c>
      <c r="S34" s="483" t="n">
        <v>19.11598941305565</v>
      </c>
      <c r="T34" s="482" t="n">
        <v>0.1727341216574699</v>
      </c>
      <c r="U34" s="482" t="n">
        <v>0.03843768470237487</v>
      </c>
      <c r="V34" s="482" t="n">
        <v>0.03658159299530167</v>
      </c>
      <c r="W34" s="482" t="n">
        <v>0.5261218871200917</v>
      </c>
      <c r="X34" s="482" t="n">
        <v>0.1204025921309046</v>
      </c>
      <c r="Y34" s="482" t="n">
        <v>0.4144218728979314</v>
      </c>
      <c r="Z34" s="482" t="n">
        <v>0.4144218728979314</v>
      </c>
      <c r="AA34" s="484" t="n">
        <v>0.05603371240422769</v>
      </c>
    </row>
    <row r="35" ht="14" customHeight="1">
      <c r="A35" s="147" t="inlineStr">
        <is>
          <t>Financial Svcs. (Non-bank &amp; Insurance)</t>
        </is>
      </c>
      <c r="B35" s="268" t="n">
        <v>176</v>
      </c>
      <c r="C35" s="482" t="n">
        <v>0.1129794444444444</v>
      </c>
      <c r="D35" s="482" t="n">
        <v>0.1848386743924957</v>
      </c>
      <c r="E35" s="482" t="inlineStr">
        <is>
          <t>NA</t>
        </is>
      </c>
      <c r="F35" s="482" t="n">
        <v>0.1930857037352512</v>
      </c>
      <c r="G35" s="483" t="n">
        <v>0.327708386847594</v>
      </c>
      <c r="H35" s="483" t="n">
        <v>0.9697132427444908</v>
      </c>
      <c r="I35" s="482" t="n">
        <v>0.08274921062640429</v>
      </c>
      <c r="J35" s="482" t="n">
        <v>0.4246919214774036</v>
      </c>
      <c r="K35" s="482" t="n">
        <v>0.050672</v>
      </c>
      <c r="L35" s="482" t="n">
        <v>0.7312766809789597</v>
      </c>
      <c r="M35" s="482" t="n">
        <v>0.05002808150982289</v>
      </c>
      <c r="N35" s="483" t="n">
        <v>0.07085584556984825</v>
      </c>
      <c r="O35" s="483" t="n">
        <v>18.9059051763244</v>
      </c>
      <c r="P35" s="483" t="n">
        <v>57.52355973366111</v>
      </c>
      <c r="Q35" s="483" t="n">
        <v>69.3963708178762</v>
      </c>
      <c r="R35" s="483" t="n">
        <v>3.660922776908981</v>
      </c>
      <c r="S35" s="483" t="n">
        <v>26.13838965454266</v>
      </c>
      <c r="T35" s="482" t="n">
        <v>11.85998591816597</v>
      </c>
      <c r="U35" s="482" t="n">
        <v>0.02985462866895819</v>
      </c>
      <c r="V35" s="482" t="n">
        <v>0.02380286567733603</v>
      </c>
      <c r="W35" s="482" t="n">
        <v>0.1414104754433023</v>
      </c>
      <c r="X35" s="482" t="n">
        <v>0.2881731815384935</v>
      </c>
      <c r="Y35" s="482" t="n">
        <v>0.1852408141048518</v>
      </c>
      <c r="Z35" s="482" t="n">
        <v>0.1852408141048518</v>
      </c>
      <c r="AA35" s="484" t="n">
        <v>0.1873929440111874</v>
      </c>
    </row>
    <row r="36" ht="14" customHeight="1">
      <c r="A36" s="147" t="inlineStr">
        <is>
          <t>Food Processing</t>
        </is>
      </c>
      <c r="B36" s="268" t="n">
        <v>78</v>
      </c>
      <c r="C36" s="482" t="n">
        <v>0.07158021739130435</v>
      </c>
      <c r="D36" s="482" t="n">
        <v>0.106306981098628</v>
      </c>
      <c r="E36" s="482" t="n">
        <v>0.1594970721492341</v>
      </c>
      <c r="F36" s="482" t="n">
        <v>0.2280972526725751</v>
      </c>
      <c r="G36" s="483" t="n">
        <v>0.4694237767707587</v>
      </c>
      <c r="H36" s="483" t="n">
        <v>0.6074530378003583</v>
      </c>
      <c r="I36" s="482" t="n">
        <v>0.06659240548589598</v>
      </c>
      <c r="J36" s="482" t="n">
        <v>0.4346763943257051</v>
      </c>
      <c r="K36" s="482" t="n">
        <v>0.050672</v>
      </c>
      <c r="L36" s="482" t="n">
        <v>0.3042697004104576</v>
      </c>
      <c r="M36" s="482" t="n">
        <v>0.05789381991348973</v>
      </c>
      <c r="N36" s="483" t="n">
        <v>1.709198961102057</v>
      </c>
      <c r="O36" s="483" t="n">
        <v>1.468315725485519</v>
      </c>
      <c r="P36" s="483" t="n">
        <v>10.01197493847315</v>
      </c>
      <c r="Q36" s="483" t="n">
        <v>13.6052112905583</v>
      </c>
      <c r="R36" s="483" t="n">
        <v>1.795893788847867</v>
      </c>
      <c r="S36" s="483" t="n">
        <v>47.96812634413219</v>
      </c>
      <c r="T36" s="482" t="n">
        <v>0.0667734918374279</v>
      </c>
      <c r="U36" s="482" t="n">
        <v>0.03300956012021748</v>
      </c>
      <c r="V36" s="482" t="n">
        <v>0.02286693929663017</v>
      </c>
      <c r="W36" s="482" t="n">
        <v>0.3277257304883673</v>
      </c>
      <c r="X36" s="482" t="n">
        <v>0.04604119204406767</v>
      </c>
      <c r="Y36" s="482" t="n">
        <v>1.431111004985274</v>
      </c>
      <c r="Z36" s="482" t="n">
        <v>1.431111004985274</v>
      </c>
      <c r="AA36" s="484" t="n">
        <v>0.107376509050571</v>
      </c>
    </row>
    <row r="37" ht="14" customHeight="1">
      <c r="A37" s="147" t="inlineStr">
        <is>
          <t>Food Wholesalers</t>
        </is>
      </c>
      <c r="B37" s="268" t="n">
        <v>13</v>
      </c>
      <c r="C37" s="482" t="n">
        <v>0.1327666666666667</v>
      </c>
      <c r="D37" s="482" t="n">
        <v>0.02613488646740249</v>
      </c>
      <c r="E37" s="482" t="n">
        <v>0.1783701930194303</v>
      </c>
      <c r="F37" s="482" t="n">
        <v>0.2367610279554668</v>
      </c>
      <c r="G37" s="483" t="n">
        <v>0.6477598141678518</v>
      </c>
      <c r="H37" s="483" t="n">
        <v>0.8666416386586649</v>
      </c>
      <c r="I37" s="482" t="n">
        <v>0.07815221708417647</v>
      </c>
      <c r="J37" s="482" t="n">
        <v>0.3397822415435992</v>
      </c>
      <c r="K37" s="482" t="n">
        <v>0.050672</v>
      </c>
      <c r="L37" s="482" t="n">
        <v>0.3195823246690734</v>
      </c>
      <c r="M37" s="482" t="n">
        <v>0.06532155653709674</v>
      </c>
      <c r="N37" s="483" t="n">
        <v>7.712909587317783</v>
      </c>
      <c r="O37" s="483" t="n">
        <v>0.456852048513644</v>
      </c>
      <c r="P37" s="483" t="n">
        <v>11.07525223204178</v>
      </c>
      <c r="Q37" s="483" t="n">
        <v>17.94448300297205</v>
      </c>
      <c r="R37" s="483" t="n">
        <v>4.878554826122564</v>
      </c>
      <c r="S37" s="483" t="n">
        <v>26.80289308359117</v>
      </c>
      <c r="T37" s="482" t="n">
        <v>0.05623003040703928</v>
      </c>
      <c r="U37" s="482" t="n">
        <v>0.01006545907183555</v>
      </c>
      <c r="V37" s="482" t="n">
        <v>0.015039535872964</v>
      </c>
      <c r="W37" s="482" t="n">
        <v>0.8133778016934007</v>
      </c>
      <c r="X37" s="482" t="n">
        <v>0.1822072451106667</v>
      </c>
      <c r="Y37" s="482" t="n">
        <v>0.3807473643539217</v>
      </c>
      <c r="Z37" s="482" t="n">
        <v>0.3807473643539216</v>
      </c>
      <c r="AA37" s="484" t="n">
        <v>0.02545614814527601</v>
      </c>
    </row>
    <row r="38" ht="14" customHeight="1">
      <c r="A38" s="147" t="inlineStr">
        <is>
          <t>Furn/Home Furnishings</t>
        </is>
      </c>
      <c r="B38" s="268" t="n">
        <v>27</v>
      </c>
      <c r="C38" s="482" t="n">
        <v>0.009873809523809528</v>
      </c>
      <c r="D38" s="482" t="n">
        <v>0.06585661858487982</v>
      </c>
      <c r="E38" s="482" t="n">
        <v>0.1058742891265975</v>
      </c>
      <c r="F38" s="482" t="n">
        <v>0.2907765738946773</v>
      </c>
      <c r="G38" s="483" t="n">
        <v>0.6521303704400933</v>
      </c>
      <c r="H38" s="483" t="n">
        <v>0.8231584740017082</v>
      </c>
      <c r="I38" s="482" t="n">
        <v>0.07621286794047619</v>
      </c>
      <c r="J38" s="482" t="n">
        <v>0.5150986273981181</v>
      </c>
      <c r="K38" s="482" t="n">
        <v>0.052913</v>
      </c>
      <c r="L38" s="482" t="n">
        <v>0.2974240911279325</v>
      </c>
      <c r="M38" s="482" t="n">
        <v>0.06534852566141613</v>
      </c>
      <c r="N38" s="483" t="n">
        <v>1.958544127171312</v>
      </c>
      <c r="O38" s="483" t="n">
        <v>1.332799009656489</v>
      </c>
      <c r="P38" s="483" t="n">
        <v>11.27381955011427</v>
      </c>
      <c r="Q38" s="483" t="n">
        <v>19.14514049519137</v>
      </c>
      <c r="R38" s="483" t="n">
        <v>2.453188499334264</v>
      </c>
      <c r="S38" s="483" t="n">
        <v>17.38352468395062</v>
      </c>
      <c r="T38" s="482" t="n">
        <v>0.1573031684823794</v>
      </c>
      <c r="U38" s="482" t="n">
        <v>0.02451385384800147</v>
      </c>
      <c r="V38" s="482" t="n">
        <v>0.05877104889297691</v>
      </c>
      <c r="W38" s="482" t="n">
        <v>1.400632775995067</v>
      </c>
      <c r="X38" s="482" t="n">
        <v>0.03107415077303208</v>
      </c>
      <c r="Y38" s="482" t="n">
        <v>1.08122220889957</v>
      </c>
      <c r="Z38" s="482" t="n">
        <v>1.08122220889957</v>
      </c>
      <c r="AA38" s="484" t="n">
        <v>0.06799974419947431</v>
      </c>
    </row>
    <row r="39" ht="14" customHeight="1">
      <c r="A39" s="147" t="inlineStr">
        <is>
          <t>Green &amp; Renewable Energy</t>
        </is>
      </c>
      <c r="B39" s="268" t="n">
        <v>15</v>
      </c>
      <c r="C39" s="482" t="n">
        <v>0.17102</v>
      </c>
      <c r="D39" s="482" t="n">
        <v>0.198726032681626</v>
      </c>
      <c r="E39" s="482" t="n">
        <v>0.03636741609417939</v>
      </c>
      <c r="F39" s="482" t="n">
        <v>0</v>
      </c>
      <c r="G39" s="483" t="n">
        <v>0.4722841676536161</v>
      </c>
      <c r="H39" s="483" t="n">
        <v>0.8563295187054536</v>
      </c>
      <c r="I39" s="482" t="n">
        <v>0.07769229653426324</v>
      </c>
      <c r="J39" s="482" t="n">
        <v>0.6514340075377375</v>
      </c>
      <c r="K39" s="482" t="n">
        <v>0.060195</v>
      </c>
      <c r="L39" s="482" t="n">
        <v>0.5307578982023936</v>
      </c>
      <c r="M39" s="482" t="n">
        <v>0.06041822528094039</v>
      </c>
      <c r="N39" s="483" t="n">
        <v>0.1979948428912487</v>
      </c>
      <c r="O39" s="483" t="n">
        <v>7.865692969599145</v>
      </c>
      <c r="P39" s="483" t="n">
        <v>13.44371680821708</v>
      </c>
      <c r="Q39" s="483" t="n">
        <v>42.62556837327966</v>
      </c>
      <c r="R39" s="483" t="n">
        <v>1.262866011273322</v>
      </c>
      <c r="S39" s="483" t="n">
        <v>32.24959395302349</v>
      </c>
      <c r="T39" s="482" t="n">
        <v>-1.142911474129766</v>
      </c>
      <c r="U39" s="482" t="n">
        <v>0.3189568537756949</v>
      </c>
      <c r="V39" s="482" t="n">
        <v>0.09007372311850939</v>
      </c>
      <c r="W39" s="482" t="n">
        <v>0.6381961322283143</v>
      </c>
      <c r="X39" s="482" t="n">
        <v>-0.07357137161316149</v>
      </c>
      <c r="Y39" s="482" t="n">
        <v>0.001289980009995003</v>
      </c>
      <c r="Z39" s="482" t="n">
        <v>0.001289980009995029</v>
      </c>
      <c r="AA39" s="484" t="n">
        <v>0.1837973692040017</v>
      </c>
    </row>
    <row r="40" ht="14" customHeight="1">
      <c r="A40" s="147" t="inlineStr">
        <is>
          <t>Healthcare Products</t>
        </is>
      </c>
      <c r="B40" s="268" t="n">
        <v>204</v>
      </c>
      <c r="C40" s="482" t="n">
        <v>0.1841067479674797</v>
      </c>
      <c r="D40" s="482" t="n">
        <v>0.1533899702248692</v>
      </c>
      <c r="E40" s="482" t="n">
        <v>0.169807786355746</v>
      </c>
      <c r="F40" s="482" t="n">
        <v>0.1277402370672081</v>
      </c>
      <c r="G40" s="483" t="n">
        <v>0.8569477958661521</v>
      </c>
      <c r="H40" s="483" t="n">
        <v>0.9085611350704943</v>
      </c>
      <c r="I40" s="482" t="n">
        <v>0.08002182662414405</v>
      </c>
      <c r="J40" s="482" t="n">
        <v>0.6179058995412937</v>
      </c>
      <c r="K40" s="482" t="n">
        <v>0.052913</v>
      </c>
      <c r="L40" s="482" t="n">
        <v>0.1133585179543921</v>
      </c>
      <c r="M40" s="482" t="n">
        <v>0.07544927539941833</v>
      </c>
      <c r="N40" s="483" t="n">
        <v>1.476950489760035</v>
      </c>
      <c r="O40" s="483" t="n">
        <v>4.762600760397512</v>
      </c>
      <c r="P40" s="483" t="n">
        <v>19.77803657687093</v>
      </c>
      <c r="Q40" s="483" t="n">
        <v>29.98927545884349</v>
      </c>
      <c r="R40" s="483" t="n">
        <v>4.435103809290801</v>
      </c>
      <c r="S40" s="483" t="n">
        <v>43.06516270029824</v>
      </c>
      <c r="T40" s="482" t="n">
        <v>0.2565259152559916</v>
      </c>
      <c r="U40" s="482" t="n">
        <v>0.03988589760686295</v>
      </c>
      <c r="V40" s="482" t="n">
        <v>0.04526630052970015</v>
      </c>
      <c r="W40" s="482" t="n">
        <v>0.4599362915493871</v>
      </c>
      <c r="X40" s="482" t="n">
        <v>0.1126000364228187</v>
      </c>
      <c r="Y40" s="482" t="n">
        <v>0.3564070775543777</v>
      </c>
      <c r="Z40" s="482" t="n">
        <v>0.3564070775543777</v>
      </c>
      <c r="AA40" s="484" t="n">
        <v>0.1582983716929619</v>
      </c>
    </row>
    <row r="41" ht="14" customHeight="1">
      <c r="A41" s="147" t="inlineStr">
        <is>
          <t>Healthcare Support Services</t>
        </is>
      </c>
      <c r="B41" s="268" t="n">
        <v>104</v>
      </c>
      <c r="C41" s="482" t="n">
        <v>0.1312175</v>
      </c>
      <c r="D41" s="482" t="n">
        <v>0.0299840587880442</v>
      </c>
      <c r="E41" s="482" t="n">
        <v>0.3119296654846798</v>
      </c>
      <c r="F41" s="482" t="n">
        <v>0.2299540044260435</v>
      </c>
      <c r="G41" s="483" t="n">
        <v>0.7448750574739688</v>
      </c>
      <c r="H41" s="483" t="n">
        <v>0.8719538873399333</v>
      </c>
      <c r="I41" s="482" t="n">
        <v>0.07838914337536103</v>
      </c>
      <c r="J41" s="482" t="n">
        <v>0.4724003230719404</v>
      </c>
      <c r="K41" s="482" t="n">
        <v>0.052913</v>
      </c>
      <c r="L41" s="482" t="n">
        <v>0.2615856411836159</v>
      </c>
      <c r="M41" s="482" t="n">
        <v>0.06826462981764432</v>
      </c>
      <c r="N41" s="483" t="n">
        <v>11.74662744336476</v>
      </c>
      <c r="O41" s="483" t="n">
        <v>0.4577833136261751</v>
      </c>
      <c r="P41" s="483" t="n">
        <v>11.16882502236794</v>
      </c>
      <c r="Q41" s="483" t="n">
        <v>15.02204955590035</v>
      </c>
      <c r="R41" s="483" t="n">
        <v>2.795572156928382</v>
      </c>
      <c r="S41" s="483" t="n">
        <v>83.7666088261665</v>
      </c>
      <c r="T41" s="482" t="n">
        <v>-0.05787836802387319</v>
      </c>
      <c r="U41" s="482" t="n">
        <v>0.005645407382038143</v>
      </c>
      <c r="V41" s="482" t="n">
        <v>0.008656847726762651</v>
      </c>
      <c r="W41" s="482" t="n">
        <v>0.5071460718638532</v>
      </c>
      <c r="X41" s="482" t="n">
        <v>0.09891791288541897</v>
      </c>
      <c r="Y41" s="482" t="n">
        <v>0.4936925996971039</v>
      </c>
      <c r="Z41" s="482" t="n">
        <v>0.4936925996971039</v>
      </c>
      <c r="AA41" s="484" t="n">
        <v>0.03005287042687139</v>
      </c>
    </row>
    <row r="42" ht="14" customHeight="1">
      <c r="A42" s="147" t="inlineStr">
        <is>
          <t>Heathcare Information and Technology</t>
        </is>
      </c>
      <c r="B42" s="268" t="n">
        <v>115</v>
      </c>
      <c r="C42" s="482" t="n">
        <v>0.1557353030303031</v>
      </c>
      <c r="D42" s="482" t="n">
        <v>0.1470948558823554</v>
      </c>
      <c r="E42" s="482" t="n">
        <v>0.1371678334811332</v>
      </c>
      <c r="F42" s="482" t="n">
        <v>0.1509666497111161</v>
      </c>
      <c r="G42" s="483" t="n">
        <v>1.016325032628335</v>
      </c>
      <c r="H42" s="483" t="n">
        <v>1.108333899148144</v>
      </c>
      <c r="I42" s="482" t="n">
        <v>0.08893169190200721</v>
      </c>
      <c r="J42" s="482" t="n">
        <v>0.6378002122444473</v>
      </c>
      <c r="K42" s="482" t="n">
        <v>0.052913</v>
      </c>
      <c r="L42" s="482" t="n">
        <v>0.1360045003505987</v>
      </c>
      <c r="M42" s="482" t="n">
        <v>0.08223388617482975</v>
      </c>
      <c r="N42" s="483" t="n">
        <v>1.24569906969673</v>
      </c>
      <c r="O42" s="483" t="n">
        <v>5.309188421358011</v>
      </c>
      <c r="P42" s="483" t="n">
        <v>21.27212715811244</v>
      </c>
      <c r="Q42" s="483" t="n">
        <v>34.7621607960374</v>
      </c>
      <c r="R42" s="483" t="n">
        <v>4.002238560460353</v>
      </c>
      <c r="S42" s="483" t="n">
        <v>506.5468687021162</v>
      </c>
      <c r="T42" s="482" t="n">
        <v>0.2352758590025914</v>
      </c>
      <c r="U42" s="482" t="n">
        <v>0.03893262908533368</v>
      </c>
      <c r="V42" s="482" t="n">
        <v>0.009215794824584157</v>
      </c>
      <c r="W42" s="482" t="n">
        <v>0.1211666818854591</v>
      </c>
      <c r="X42" s="482" t="n">
        <v>0.06397363703274217</v>
      </c>
      <c r="Y42" s="482" t="n">
        <v>0.1684931886355169</v>
      </c>
      <c r="Z42" s="482" t="n">
        <v>0.1684931886355169</v>
      </c>
      <c r="AA42" s="484" t="n">
        <v>0.1479431219637029</v>
      </c>
    </row>
    <row r="43" ht="14" customHeight="1">
      <c r="A43" s="147" t="inlineStr">
        <is>
          <t>Homebuilding</t>
        </is>
      </c>
      <c r="B43" s="268" t="n">
        <v>30</v>
      </c>
      <c r="C43" s="482" t="n">
        <v>0.09872173913043479</v>
      </c>
      <c r="D43" s="482" t="n">
        <v>0.1257495272304001</v>
      </c>
      <c r="E43" s="482" t="n">
        <v>0.1490812879349228</v>
      </c>
      <c r="F43" s="482" t="n">
        <v>0.2367166379830307</v>
      </c>
      <c r="G43" s="483" t="n">
        <v>0.8532230798743929</v>
      </c>
      <c r="H43" s="483" t="n">
        <v>0.9106178132748846</v>
      </c>
      <c r="I43" s="482" t="n">
        <v>0.08011355447205985</v>
      </c>
      <c r="J43" s="482" t="n">
        <v>0.327940466753169</v>
      </c>
      <c r="K43" s="482" t="n">
        <v>0.050672</v>
      </c>
      <c r="L43" s="482" t="n">
        <v>0.1758976469523667</v>
      </c>
      <c r="M43" s="482" t="n">
        <v>0.07270658292621202</v>
      </c>
      <c r="N43" s="483" t="n">
        <v>1.42151892733591</v>
      </c>
      <c r="O43" s="483" t="n">
        <v>1.19162693867246</v>
      </c>
      <c r="P43" s="483" t="n">
        <v>8.918125636141264</v>
      </c>
      <c r="Q43" s="483" t="n">
        <v>9.431920504743353</v>
      </c>
      <c r="R43" s="483" t="n">
        <v>1.633094980041887</v>
      </c>
      <c r="S43" s="483" t="n">
        <v>11.45349631568776</v>
      </c>
      <c r="T43" s="482" t="n">
        <v>0.6164635102360477</v>
      </c>
      <c r="U43" s="482" t="n">
        <v>0.004881250453208145</v>
      </c>
      <c r="V43" s="482" t="n">
        <v>0.006827851467460641</v>
      </c>
      <c r="W43" s="482" t="n">
        <v>0.3102881169932895</v>
      </c>
      <c r="X43" s="482" t="n">
        <v>0.1423143035855479</v>
      </c>
      <c r="Y43" s="482" t="n">
        <v>0.09572188588883335</v>
      </c>
      <c r="Z43" s="482" t="n">
        <v>0.09572188588883335</v>
      </c>
      <c r="AA43" s="484" t="n">
        <v>0.1263385556547798</v>
      </c>
    </row>
    <row r="44" ht="14" customHeight="1">
      <c r="A44" s="147" t="inlineStr">
        <is>
          <t>Hospitals/Healthcare Facilities</t>
        </is>
      </c>
      <c r="B44" s="268" t="n">
        <v>31</v>
      </c>
      <c r="C44" s="482" t="n">
        <v>0.1594458823529412</v>
      </c>
      <c r="D44" s="482" t="n">
        <v>0.1335655802468282</v>
      </c>
      <c r="E44" s="482" t="n">
        <v>0.2216397031877998</v>
      </c>
      <c r="F44" s="482" t="n">
        <v>0.2132822043194953</v>
      </c>
      <c r="G44" s="483" t="n">
        <v>0.5648588718287879</v>
      </c>
      <c r="H44" s="483" t="n">
        <v>0.7996783314027625</v>
      </c>
      <c r="I44" s="482" t="n">
        <v>0.07516565358056321</v>
      </c>
      <c r="J44" s="482" t="n">
        <v>0.5645694737555678</v>
      </c>
      <c r="K44" s="482" t="n">
        <v>0.052913</v>
      </c>
      <c r="L44" s="482" t="n">
        <v>0.3746888451798786</v>
      </c>
      <c r="M44" s="482" t="n">
        <v>0.06187135479202336</v>
      </c>
      <c r="N44" s="483" t="n">
        <v>1.950308515636748</v>
      </c>
      <c r="O44" s="483" t="n">
        <v>1.688745016782787</v>
      </c>
      <c r="P44" s="483" t="n">
        <v>8.864021416745029</v>
      </c>
      <c r="Q44" s="483" t="n">
        <v>13.11546361352196</v>
      </c>
      <c r="R44" s="483" t="n">
        <v>5.622736292515395</v>
      </c>
      <c r="S44" s="483" t="n">
        <v>18.80423348939764</v>
      </c>
      <c r="T44" s="482" t="n">
        <v>0.1048350761454378</v>
      </c>
      <c r="U44" s="482" t="n">
        <v>0.05952158089532909</v>
      </c>
      <c r="V44" s="482" t="n">
        <v>0.02961184416686606</v>
      </c>
      <c r="W44" s="482" t="n">
        <v>0.3390953406386047</v>
      </c>
      <c r="X44" s="482" t="n">
        <v>0.5083628028154341</v>
      </c>
      <c r="Y44" s="482" t="n">
        <v>0.09335383175077289</v>
      </c>
      <c r="Z44" s="482" t="n">
        <v>0.09335383175077294</v>
      </c>
      <c r="AA44" s="484" t="n">
        <v>0.1285531963601031</v>
      </c>
    </row>
    <row r="45" ht="14" customHeight="1">
      <c r="A45" s="147" t="inlineStr">
        <is>
          <t>Hotel/Gaming</t>
        </is>
      </c>
      <c r="B45" s="268" t="n">
        <v>63</v>
      </c>
      <c r="C45" s="482" t="n">
        <v>0.2181709999999999</v>
      </c>
      <c r="D45" s="482" t="n">
        <v>0.1938799348814458</v>
      </c>
      <c r="E45" s="482" t="n">
        <v>0.145751190453226</v>
      </c>
      <c r="F45" s="482" t="n">
        <v>0.1661516239464262</v>
      </c>
      <c r="G45" s="483" t="n">
        <v>0.8756884427797555</v>
      </c>
      <c r="H45" s="483" t="n">
        <v>1.080367568307419</v>
      </c>
      <c r="I45" s="482" t="n">
        <v>0.08768439354651091</v>
      </c>
      <c r="J45" s="482" t="n">
        <v>0.3965335196981276</v>
      </c>
      <c r="K45" s="482" t="n">
        <v>0.050672</v>
      </c>
      <c r="L45" s="482" t="n">
        <v>0.2844375319862503</v>
      </c>
      <c r="M45" s="482" t="n">
        <v>0.07355342501803572</v>
      </c>
      <c r="N45" s="483" t="n">
        <v>1.039899955851329</v>
      </c>
      <c r="O45" s="483" t="n">
        <v>4.327076142389566</v>
      </c>
      <c r="P45" s="483" t="n">
        <v>14.93267074437605</v>
      </c>
      <c r="Q45" s="483" t="n">
        <v>25.71068177159895</v>
      </c>
      <c r="R45" s="483" t="n">
        <v>12.30347267197599</v>
      </c>
      <c r="S45" s="483" t="n">
        <v>46.60333945899176</v>
      </c>
      <c r="T45" s="482" t="n">
        <v>0.007662953896743492</v>
      </c>
      <c r="U45" s="482" t="n">
        <v>0.07341700165035558</v>
      </c>
      <c r="V45" s="482" t="n">
        <v>0.0251782452952403</v>
      </c>
      <c r="W45" s="482" t="n">
        <v>0.2537482328832064</v>
      </c>
      <c r="X45" s="482" t="n">
        <v>0.4538326736020845</v>
      </c>
      <c r="Y45" s="482" t="n">
        <v>0.1828047663939815</v>
      </c>
      <c r="Z45" s="482" t="n">
        <v>0.1828047663939815</v>
      </c>
      <c r="AA45" s="484" t="n">
        <v>0.1659454186798321</v>
      </c>
    </row>
    <row r="46" ht="14" customHeight="1">
      <c r="A46" s="147" t="inlineStr">
        <is>
          <t>Household Products</t>
        </is>
      </c>
      <c r="B46" s="268" t="n">
        <v>110</v>
      </c>
      <c r="C46" s="482" t="n">
        <v>0.08087382978723406</v>
      </c>
      <c r="D46" s="482" t="n">
        <v>0.1862488237477741</v>
      </c>
      <c r="E46" s="482" t="n">
        <v>0.3441983751200186</v>
      </c>
      <c r="F46" s="482" t="n">
        <v>0.2073149545763796</v>
      </c>
      <c r="G46" s="483" t="n">
        <v>0.7410769287097494</v>
      </c>
      <c r="H46" s="483" t="n">
        <v>0.8155158251324154</v>
      </c>
      <c r="I46" s="482" t="n">
        <v>0.07587200580090572</v>
      </c>
      <c r="J46" s="482" t="n">
        <v>0.5546378639806525</v>
      </c>
      <c r="K46" s="482" t="n">
        <v>0.052913</v>
      </c>
      <c r="L46" s="482" t="n">
        <v>0.153601292087209</v>
      </c>
      <c r="M46" s="482" t="n">
        <v>0.07031359655279625</v>
      </c>
      <c r="N46" s="483" t="n">
        <v>2.214429262740435</v>
      </c>
      <c r="O46" s="483" t="n">
        <v>3.059468148726035</v>
      </c>
      <c r="P46" s="483" t="n">
        <v>13.17352016412676</v>
      </c>
      <c r="Q46" s="483" t="n">
        <v>16.25491325421328</v>
      </c>
      <c r="R46" s="483" t="n">
        <v>5.847090055850471</v>
      </c>
      <c r="S46" s="483" t="n">
        <v>33.07179588651714</v>
      </c>
      <c r="T46" s="482" t="n">
        <v>0.06006083788394438</v>
      </c>
      <c r="U46" s="482" t="n">
        <v>0.03791443224072157</v>
      </c>
      <c r="V46" s="482" t="n">
        <v>0.01131996133663512</v>
      </c>
      <c r="W46" s="482" t="n">
        <v>0.07757640989499602</v>
      </c>
      <c r="X46" s="482" t="n">
        <v>0.2702119723935352</v>
      </c>
      <c r="Y46" s="482" t="n">
        <v>0.6724627371530681</v>
      </c>
      <c r="Z46" s="482" t="n">
        <v>0.6724627371530681</v>
      </c>
      <c r="AA46" s="484" t="n">
        <v>0.1881097749842177</v>
      </c>
    </row>
    <row r="47" ht="14" customHeight="1">
      <c r="A47" s="147" t="inlineStr">
        <is>
          <t>Information Services</t>
        </is>
      </c>
      <c r="B47" s="268" t="n">
        <v>15</v>
      </c>
      <c r="C47" s="482" t="n">
        <v>0.06770909090909091</v>
      </c>
      <c r="D47" s="482" t="n">
        <v>0.1188602164339738</v>
      </c>
      <c r="E47" s="482" t="n">
        <v>0.2217430042193927</v>
      </c>
      <c r="F47" s="482" t="n">
        <v>0.2173934147722675</v>
      </c>
      <c r="G47" s="483" t="n">
        <v>0.7563563575971642</v>
      </c>
      <c r="H47" s="483" t="n">
        <v>0.9205673234850804</v>
      </c>
      <c r="I47" s="482" t="n">
        <v>0.08055730262743459</v>
      </c>
      <c r="J47" s="482" t="n">
        <v>0.3237524454802279</v>
      </c>
      <c r="K47" s="482" t="n">
        <v>0.050672</v>
      </c>
      <c r="L47" s="482" t="n">
        <v>0.2490792719816506</v>
      </c>
      <c r="M47" s="482" t="n">
        <v>0.06995815698857832</v>
      </c>
      <c r="N47" s="483" t="n">
        <v>2.5121429063367</v>
      </c>
      <c r="O47" s="483" t="n">
        <v>2.212535389114448</v>
      </c>
      <c r="P47" s="483" t="n">
        <v>11.49832200915996</v>
      </c>
      <c r="Q47" s="483" t="n">
        <v>17.7665165820875</v>
      </c>
      <c r="R47" s="483" t="n">
        <v>3.794938947322144</v>
      </c>
      <c r="S47" s="483" t="n">
        <v>24.91702750363627</v>
      </c>
      <c r="T47" s="482" t="n">
        <v>0.1662125535654339</v>
      </c>
      <c r="U47" s="482" t="n">
        <v>0.01904214143249274</v>
      </c>
      <c r="V47" s="482" t="n">
        <v>-0.02871716957285889</v>
      </c>
      <c r="W47" s="482" t="n">
        <v>-0.2678902088965883</v>
      </c>
      <c r="X47" s="482" t="n">
        <v>0.149460900440439</v>
      </c>
      <c r="Y47" s="482" t="n">
        <v>0.3206733497257424</v>
      </c>
      <c r="Z47" s="482" t="n">
        <v>0.3206733497257424</v>
      </c>
      <c r="AA47" s="484" t="n">
        <v>0.1247199704995497</v>
      </c>
    </row>
    <row r="48" ht="14" customHeight="1">
      <c r="A48" s="147" t="inlineStr">
        <is>
          <t>Insurance (General)</t>
        </is>
      </c>
      <c r="B48" s="268" t="n">
        <v>21</v>
      </c>
      <c r="C48" s="482" t="n">
        <v>0.1182776923076923</v>
      </c>
      <c r="D48" s="482" t="n">
        <v>0.2131282564251055</v>
      </c>
      <c r="E48" s="482" t="n">
        <v>0.4450609958826383</v>
      </c>
      <c r="F48" s="482" t="n">
        <v>0.2231967199034194</v>
      </c>
      <c r="G48" s="483" t="n">
        <v>0.5780724262046252</v>
      </c>
      <c r="H48" s="483" t="n">
        <v>0.6719750422408106</v>
      </c>
      <c r="I48" s="482" t="n">
        <v>0.06947008688394016</v>
      </c>
      <c r="J48" s="482" t="n">
        <v>0.46070163153831</v>
      </c>
      <c r="K48" s="482" t="n">
        <v>0.052913</v>
      </c>
      <c r="L48" s="482" t="n">
        <v>0.2039966600957666</v>
      </c>
      <c r="M48" s="482" t="n">
        <v>0.06339397763978913</v>
      </c>
      <c r="N48" s="483" t="n">
        <v>2.409977566153034</v>
      </c>
      <c r="O48" s="483" t="n">
        <v>4.324047602881805</v>
      </c>
      <c r="P48" s="483" t="n">
        <v>15.75790485730277</v>
      </c>
      <c r="Q48" s="483" t="n">
        <v>20.09990608407696</v>
      </c>
      <c r="R48" s="483" t="n">
        <v>3.451731948410647</v>
      </c>
      <c r="S48" s="483" t="n">
        <v>33.96447508386147</v>
      </c>
      <c r="T48" s="482" t="n">
        <v>0.2653809787043614</v>
      </c>
      <c r="U48" s="482" t="n">
        <v>0.01137653882264164</v>
      </c>
      <c r="V48" s="482" t="n">
        <v>0.5504301315293023</v>
      </c>
      <c r="W48" s="482" t="n">
        <v>3.242072539208152</v>
      </c>
      <c r="X48" s="482" t="n">
        <v>0.190716563362503</v>
      </c>
      <c r="Y48" s="482" t="n">
        <v>0.3664220974786759</v>
      </c>
      <c r="Z48" s="482" t="n">
        <v>0.3664220974786758</v>
      </c>
      <c r="AA48" s="484" t="n">
        <v>0.2145699559387708</v>
      </c>
    </row>
    <row r="49" ht="14" customHeight="1">
      <c r="A49" s="147" t="inlineStr">
        <is>
          <t>Insurance (Life)</t>
        </is>
      </c>
      <c r="B49" s="268" t="n">
        <v>20</v>
      </c>
      <c r="C49" s="482" t="n">
        <v>0.02519</v>
      </c>
      <c r="D49" s="482" t="n">
        <v>0.1061321986436446</v>
      </c>
      <c r="E49" s="482" t="n">
        <v>0.1076576568830416</v>
      </c>
      <c r="F49" s="482" t="n">
        <v>0.1867681012574124</v>
      </c>
      <c r="G49" s="483" t="n">
        <v>0.5317480065275768</v>
      </c>
      <c r="H49" s="483" t="n">
        <v>0.6444930925180267</v>
      </c>
      <c r="I49" s="482" t="n">
        <v>0.06824439192630399</v>
      </c>
      <c r="J49" s="482" t="n">
        <v>0.3515193422631459</v>
      </c>
      <c r="K49" s="482" t="n">
        <v>0.050672</v>
      </c>
      <c r="L49" s="482" t="n">
        <v>0.4041940370182383</v>
      </c>
      <c r="M49" s="482" t="n">
        <v>0.05602140583259745</v>
      </c>
      <c r="N49" s="483" t="n">
        <v>1.192128084159164</v>
      </c>
      <c r="O49" s="483" t="n">
        <v>1.283824922474728</v>
      </c>
      <c r="P49" s="483" t="n">
        <v>12.52246667271868</v>
      </c>
      <c r="Q49" s="483" t="n">
        <v>11.69560954139714</v>
      </c>
      <c r="R49" s="483" t="n">
        <v>1.434116504672547</v>
      </c>
      <c r="S49" s="483" t="n">
        <v>12.55744686657893</v>
      </c>
      <c r="T49" s="482" t="n">
        <v>0.2316686023040303</v>
      </c>
      <c r="U49" s="482" t="n">
        <v>0.00172357108928718</v>
      </c>
      <c r="V49" s="482" t="n">
        <v>0.003174677386864691</v>
      </c>
      <c r="W49" s="482" t="n">
        <v>0.0531386403080186</v>
      </c>
      <c r="X49" s="482" t="n">
        <v>0.1287352963515177</v>
      </c>
      <c r="Y49" s="482" t="n">
        <v>0.3360679830191276</v>
      </c>
      <c r="Z49" s="482" t="n">
        <v>0.3360679830191275</v>
      </c>
      <c r="AA49" s="484" t="n">
        <v>0.1064766916426663</v>
      </c>
    </row>
    <row r="50" ht="14" customHeight="1">
      <c r="A50" s="147" t="inlineStr">
        <is>
          <t>Insurance (Prop/Cas.)</t>
        </is>
      </c>
      <c r="B50" s="268" t="n">
        <v>57</v>
      </c>
      <c r="C50" s="482" t="n">
        <v>0.08764183673469389</v>
      </c>
      <c r="D50" s="482" t="n">
        <v>0.1525411457011631</v>
      </c>
      <c r="E50" s="482" t="n">
        <v>0.1848897922347782</v>
      </c>
      <c r="F50" s="482" t="n">
        <v>0.2158889974566429</v>
      </c>
      <c r="G50" s="483" t="n">
        <v>0.4570234949231456</v>
      </c>
      <c r="H50" s="483" t="n">
        <v>0.4841100151289049</v>
      </c>
      <c r="I50" s="482" t="n">
        <v>0.06109130667474916</v>
      </c>
      <c r="J50" s="482" t="n">
        <v>0.2869687952853511</v>
      </c>
      <c r="K50" s="482" t="n">
        <v>0.047306</v>
      </c>
      <c r="L50" s="482" t="n">
        <v>0.1291420288994871</v>
      </c>
      <c r="M50" s="482" t="n">
        <v>0.05778374599699063</v>
      </c>
      <c r="N50" s="483" t="n">
        <v>1.480298311904736</v>
      </c>
      <c r="O50" s="483" t="n">
        <v>1.488781913224094</v>
      </c>
      <c r="P50" s="483" t="n">
        <v>8.4356789458995</v>
      </c>
      <c r="Q50" s="483" t="n">
        <v>9.639962545096123</v>
      </c>
      <c r="R50" s="483" t="n">
        <v>2.023852760026604</v>
      </c>
      <c r="S50" s="483" t="n">
        <v>18.33444165737293</v>
      </c>
      <c r="T50" s="482" t="n">
        <v>-0.4047851575984949</v>
      </c>
      <c r="U50" s="482" t="n">
        <v>0.006463989081157454</v>
      </c>
      <c r="V50" s="482" t="n">
        <v>-0.01050621729319698</v>
      </c>
      <c r="W50" s="482" t="n">
        <v>0.02004685115969638</v>
      </c>
      <c r="X50" s="482" t="n">
        <v>0.1871472540067841</v>
      </c>
      <c r="Y50" s="482" t="n">
        <v>0.2248570127220276</v>
      </c>
      <c r="Z50" s="482" t="n">
        <v>0.2248570127220276</v>
      </c>
      <c r="AA50" s="484" t="n">
        <v>0.1530058312099489</v>
      </c>
    </row>
    <row r="51" ht="14" customHeight="1">
      <c r="A51" s="147" t="inlineStr">
        <is>
          <t>Investments &amp; Asset Management</t>
        </is>
      </c>
      <c r="B51" s="268" t="n">
        <v>283</v>
      </c>
      <c r="C51" s="482" t="n">
        <v>0.0568886274509804</v>
      </c>
      <c r="D51" s="482" t="n">
        <v>0.255024819913312</v>
      </c>
      <c r="E51" s="482" t="n">
        <v>0.1425320730051866</v>
      </c>
      <c r="F51" s="482" t="n">
        <v>0.1851158887244541</v>
      </c>
      <c r="G51" s="483" t="n">
        <v>0.588064033338367</v>
      </c>
      <c r="H51" s="483" t="n">
        <v>0.6595817512663942</v>
      </c>
      <c r="I51" s="482" t="n">
        <v>0.06891734610648118</v>
      </c>
      <c r="J51" s="482" t="n">
        <v>0.3004225728309703</v>
      </c>
      <c r="K51" s="482" t="n">
        <v>0.050672</v>
      </c>
      <c r="L51" s="482" t="n">
        <v>0.2463533959386016</v>
      </c>
      <c r="M51" s="482" t="n">
        <v>0.06130173831332419</v>
      </c>
      <c r="N51" s="483" t="n">
        <v>0.5894173898841665</v>
      </c>
      <c r="O51" s="483" t="n">
        <v>5.486045625728951</v>
      </c>
      <c r="P51" s="483" t="n">
        <v>38.02880057904406</v>
      </c>
      <c r="Q51" s="483" t="n">
        <v>20.39991949055981</v>
      </c>
      <c r="R51" s="483" t="n">
        <v>2.489616012966674</v>
      </c>
      <c r="S51" s="483" t="n">
        <v>75.30490832859047</v>
      </c>
      <c r="T51" s="482" t="inlineStr">
        <is>
          <t>NA</t>
        </is>
      </c>
      <c r="U51" s="482" t="n">
        <v>0.02444261474147592</v>
      </c>
      <c r="V51" s="482" t="n">
        <v>0.2102299821311934</v>
      </c>
      <c r="W51" s="482" t="n">
        <v>1.310653356484875</v>
      </c>
      <c r="X51" s="482" t="n">
        <v>0.1588067678289871</v>
      </c>
      <c r="Y51" s="482" t="n">
        <v>0.5824006202804275</v>
      </c>
      <c r="Z51" s="482" t="n">
        <v>0.5824006202804275</v>
      </c>
      <c r="AA51" s="484" t="n">
        <v>0.252572918757687</v>
      </c>
    </row>
    <row r="52" ht="14" customHeight="1">
      <c r="A52" s="147" t="inlineStr">
        <is>
          <t>Machinery</t>
        </is>
      </c>
      <c r="B52" s="268" t="n">
        <v>105</v>
      </c>
      <c r="C52" s="482" t="n">
        <v>0.1036877464788733</v>
      </c>
      <c r="D52" s="482" t="n">
        <v>0.1586495069517875</v>
      </c>
      <c r="E52" s="482" t="n">
        <v>0.244083257883221</v>
      </c>
      <c r="F52" s="482" t="n">
        <v>0.2121106319663805</v>
      </c>
      <c r="G52" s="483" t="n">
        <v>0.8940302510086939</v>
      </c>
      <c r="H52" s="483" t="n">
        <v>0.9636207903494385</v>
      </c>
      <c r="I52" s="482" t="n">
        <v>0.08247748724958495</v>
      </c>
      <c r="J52" s="482" t="n">
        <v>0.4503411666073636</v>
      </c>
      <c r="K52" s="482" t="n">
        <v>0.052913</v>
      </c>
      <c r="L52" s="482" t="n">
        <v>0.128101898330155</v>
      </c>
      <c r="M52" s="482" t="n">
        <v>0.07699565637316959</v>
      </c>
      <c r="N52" s="483" t="n">
        <v>1.951925590204531</v>
      </c>
      <c r="O52" s="483" t="n">
        <v>3.426131130289686</v>
      </c>
      <c r="P52" s="483" t="n">
        <v>16.21747056227096</v>
      </c>
      <c r="Q52" s="483" t="n">
        <v>21.03633026461816</v>
      </c>
      <c r="R52" s="483" t="n">
        <v>4.501410024095517</v>
      </c>
      <c r="S52" s="483" t="n">
        <v>35.76103587726784</v>
      </c>
      <c r="T52" s="482" t="n">
        <v>0.2442193567668156</v>
      </c>
      <c r="U52" s="482" t="n">
        <v>0.02390313656275155</v>
      </c>
      <c r="V52" s="482" t="n">
        <v>0.04135104627881279</v>
      </c>
      <c r="W52" s="482" t="n">
        <v>0.3432570745381548</v>
      </c>
      <c r="X52" s="482" t="n">
        <v>0.1642312163850503</v>
      </c>
      <c r="Y52" s="482" t="n">
        <v>0.3342568361705102</v>
      </c>
      <c r="Z52" s="482" t="n">
        <v>0.3342568361705102</v>
      </c>
      <c r="AA52" s="484" t="n">
        <v>0.1612105237002885</v>
      </c>
    </row>
    <row r="53" ht="14" customHeight="1">
      <c r="A53" s="147" t="inlineStr">
        <is>
          <t>Metals &amp; Mining</t>
        </is>
      </c>
      <c r="B53" s="268" t="n">
        <v>73</v>
      </c>
      <c r="C53" s="482" t="n">
        <v>0.0867066666666667</v>
      </c>
      <c r="D53" s="482" t="n">
        <v>0.2385427191735325</v>
      </c>
      <c r="E53" s="482" t="n">
        <v>0.2704361776786952</v>
      </c>
      <c r="F53" s="482" t="n">
        <v>0.3446283103725081</v>
      </c>
      <c r="G53" s="483" t="n">
        <v>1.010449296054403</v>
      </c>
      <c r="H53" s="483" t="n">
        <v>1.043031476230846</v>
      </c>
      <c r="I53" s="482" t="n">
        <v>0.08601920383989574</v>
      </c>
      <c r="J53" s="482" t="n">
        <v>0.7756025957468325</v>
      </c>
      <c r="K53" s="482" t="n">
        <v>0.060195</v>
      </c>
      <c r="L53" s="482" t="n">
        <v>0.0989734528307213</v>
      </c>
      <c r="M53" s="482" t="n">
        <v>0.08197386647097057</v>
      </c>
      <c r="N53" s="483" t="n">
        <v>1.175715601360768</v>
      </c>
      <c r="O53" s="483" t="n">
        <v>4.034482548056959</v>
      </c>
      <c r="P53" s="483" t="n">
        <v>11.3906369554613</v>
      </c>
      <c r="Q53" s="483" t="n">
        <v>15.72189898228056</v>
      </c>
      <c r="R53" s="483" t="n">
        <v>4.336765520107329</v>
      </c>
      <c r="S53" s="483" t="n">
        <v>54.1176014151896</v>
      </c>
      <c r="T53" s="482" t="n">
        <v>0.1488715443153497</v>
      </c>
      <c r="U53" s="482" t="n">
        <v>0.1171568803298095</v>
      </c>
      <c r="V53" s="482" t="n">
        <v>0.04613846892086521</v>
      </c>
      <c r="W53" s="482" t="n">
        <v>0.3240321753052389</v>
      </c>
      <c r="X53" s="482" t="n">
        <v>0.1779434874880822</v>
      </c>
      <c r="Y53" s="482" t="n">
        <v>0.5199944937174282</v>
      </c>
      <c r="Z53" s="482" t="n">
        <v>0.5199944937174282</v>
      </c>
      <c r="AA53" s="484" t="n">
        <v>0.2375013114727321</v>
      </c>
    </row>
    <row r="54" ht="14" customHeight="1">
      <c r="A54" s="147" t="inlineStr">
        <is>
          <t>Office Equipment &amp; Services</t>
        </is>
      </c>
      <c r="B54" s="268" t="n">
        <v>14</v>
      </c>
      <c r="C54" s="482" t="n">
        <v>0.08130000000000001</v>
      </c>
      <c r="D54" s="482" t="n">
        <v>0.107283052147578</v>
      </c>
      <c r="E54" s="482" t="n">
        <v>0.1826016020332072</v>
      </c>
      <c r="F54" s="482" t="n">
        <v>0.2375971140036414</v>
      </c>
      <c r="G54" s="483" t="n">
        <v>1.038190189786169</v>
      </c>
      <c r="H54" s="483" t="n">
        <v>1.334375038621748</v>
      </c>
      <c r="I54" s="482" t="n">
        <v>0.09901312672252996</v>
      </c>
      <c r="J54" s="482" t="n">
        <v>0.3960756696465002</v>
      </c>
      <c r="K54" s="482" t="n">
        <v>0.050672</v>
      </c>
      <c r="L54" s="482" t="n">
        <v>0.3247918436948866</v>
      </c>
      <c r="M54" s="482" t="n">
        <v>0.07919785997210449</v>
      </c>
      <c r="N54" s="483" t="n">
        <v>2.205030678534003</v>
      </c>
      <c r="O54" s="483" t="n">
        <v>1.433663742966214</v>
      </c>
      <c r="P54" s="483" t="n">
        <v>8.594854468833645</v>
      </c>
      <c r="Q54" s="483" t="n">
        <v>13.0262887992241</v>
      </c>
      <c r="R54" s="483" t="n">
        <v>2.924078960854785</v>
      </c>
      <c r="S54" s="483" t="n">
        <v>18.55152694828409</v>
      </c>
      <c r="T54" s="482" t="n">
        <v>0.0813899150038206</v>
      </c>
      <c r="U54" s="482" t="n">
        <v>0.02764341356905921</v>
      </c>
      <c r="V54" s="482" t="n">
        <v>0.0186951695138595</v>
      </c>
      <c r="W54" s="482" t="n">
        <v>0.3229164307022239</v>
      </c>
      <c r="X54" s="482" t="n">
        <v>0.1322566194736466</v>
      </c>
      <c r="Y54" s="482" t="n">
        <v>0.5740361220760601</v>
      </c>
      <c r="Z54" s="482" t="n">
        <v>0.5740361220760601</v>
      </c>
      <c r="AA54" s="484" t="n">
        <v>0.1079829271874838</v>
      </c>
    </row>
    <row r="55" ht="14" customHeight="1">
      <c r="A55" s="147" t="inlineStr">
        <is>
          <t>Oil/Gas (Integrated)</t>
        </is>
      </c>
      <c r="B55" s="268" t="n">
        <v>4</v>
      </c>
      <c r="C55" s="482" t="n">
        <v>0.0462</v>
      </c>
      <c r="D55" s="482" t="n">
        <v>0.1124866389469229</v>
      </c>
      <c r="E55" s="482" t="n">
        <v>0.0844906040235468</v>
      </c>
      <c r="F55" s="482" t="n">
        <v>0.3143721503699604</v>
      </c>
      <c r="G55" s="483" t="n">
        <v>0.2780040123588666</v>
      </c>
      <c r="H55" s="483" t="n">
        <v>0.2993819796439979</v>
      </c>
      <c r="I55" s="482" t="n">
        <v>0.05285243629212231</v>
      </c>
      <c r="J55" s="482" t="n">
        <v>0.2026827904588578</v>
      </c>
      <c r="K55" s="482" t="n">
        <v>0.047306</v>
      </c>
      <c r="L55" s="482" t="n">
        <v>0.121612740694131</v>
      </c>
      <c r="M55" s="482" t="n">
        <v>0.05073966589573278</v>
      </c>
      <c r="N55" s="483" t="n">
        <v>1.024311291185885</v>
      </c>
      <c r="O55" s="483" t="n">
        <v>1.753176232733194</v>
      </c>
      <c r="P55" s="483" t="n">
        <v>8.163021611107265</v>
      </c>
      <c r="Q55" s="483" t="n">
        <v>15.15670397335326</v>
      </c>
      <c r="R55" s="483" t="n">
        <v>1.707552331046733</v>
      </c>
      <c r="S55" s="483" t="n">
        <v>16.24390548286594</v>
      </c>
      <c r="T55" s="482" t="n">
        <v>0.03927425140725967</v>
      </c>
      <c r="U55" s="482" t="n">
        <v>0.09638988083537244</v>
      </c>
      <c r="V55" s="482" t="n">
        <v>0.003890325204017346</v>
      </c>
      <c r="W55" s="482" t="n">
        <v>0.08394892143738739</v>
      </c>
      <c r="X55" s="482" t="n">
        <v>0.09957502140399105</v>
      </c>
      <c r="Y55" s="482" t="n">
        <v>0.6773393605566876</v>
      </c>
      <c r="Z55" s="482" t="n">
        <v>0.6773393605566876</v>
      </c>
      <c r="AA55" s="484" t="n">
        <v>0.1157741200614615</v>
      </c>
    </row>
    <row r="56" ht="14" customHeight="1">
      <c r="A56" s="147" t="inlineStr">
        <is>
          <t>Oil/Gas (Production and Exploration)</t>
        </is>
      </c>
      <c r="B56" s="268" t="n">
        <v>142</v>
      </c>
      <c r="C56" s="482" t="n">
        <v>0.1761252054794521</v>
      </c>
      <c r="D56" s="482" t="n">
        <v>0.2541582987981389</v>
      </c>
      <c r="E56" s="482" t="n">
        <v>0.1373109527096751</v>
      </c>
      <c r="F56" s="482" t="n">
        <v>0.2533721378026995</v>
      </c>
      <c r="G56" s="483" t="n">
        <v>0.5785405692885324</v>
      </c>
      <c r="H56" s="483" t="n">
        <v>0.72140595546977</v>
      </c>
      <c r="I56" s="482" t="n">
        <v>0.07167470561395174</v>
      </c>
      <c r="J56" s="482" t="n">
        <v>0.4221920097460941</v>
      </c>
      <c r="K56" s="482" t="n">
        <v>0.050672</v>
      </c>
      <c r="L56" s="482" t="n">
        <v>0.2731904517372341</v>
      </c>
      <c r="M56" s="482" t="n">
        <v>0.06247619033696485</v>
      </c>
      <c r="N56" s="483" t="n">
        <v>0.5740994431768883</v>
      </c>
      <c r="O56" s="483" t="n">
        <v>2.682588599484382</v>
      </c>
      <c r="P56" s="483" t="n">
        <v>5.14585933864515</v>
      </c>
      <c r="Q56" s="483" t="n">
        <v>10.27744374433477</v>
      </c>
      <c r="R56" s="483" t="n">
        <v>1.355720743666191</v>
      </c>
      <c r="S56" s="483" t="n">
        <v>30.98341309660202</v>
      </c>
      <c r="T56" s="482" t="n">
        <v>0.006617127119104511</v>
      </c>
      <c r="U56" s="482" t="n">
        <v>0.3813741097104587</v>
      </c>
      <c r="V56" s="482" t="n">
        <v>0.1904869187457587</v>
      </c>
      <c r="W56" s="482" t="n">
        <v>1.004751944356199</v>
      </c>
      <c r="X56" s="482" t="n">
        <v>0.1221106613964292</v>
      </c>
      <c r="Y56" s="482" t="n">
        <v>0.4169878127780144</v>
      </c>
      <c r="Z56" s="482" t="n">
        <v>0.4169878127780144</v>
      </c>
      <c r="AA56" s="484" t="n">
        <v>0.2574964851933582</v>
      </c>
    </row>
    <row r="57" ht="14" customHeight="1">
      <c r="A57" s="147" t="inlineStr">
        <is>
          <t>Oil/Gas Distribution</t>
        </is>
      </c>
      <c r="B57" s="268" t="n">
        <v>23</v>
      </c>
      <c r="C57" s="482" t="n">
        <v>0.2012806666666667</v>
      </c>
      <c r="D57" s="482" t="n">
        <v>0.2577810990734486</v>
      </c>
      <c r="E57" s="482" t="n">
        <v>0.123510551591223</v>
      </c>
      <c r="F57" s="482" t="n">
        <v>0.2038850439643786</v>
      </c>
      <c r="G57" s="483" t="n">
        <v>0.4692562974090757</v>
      </c>
      <c r="H57" s="483" t="n">
        <v>0.6692224517144899</v>
      </c>
      <c r="I57" s="482" t="n">
        <v>0.06934732134646625</v>
      </c>
      <c r="J57" s="482" t="n">
        <v>0.4224037245326557</v>
      </c>
      <c r="K57" s="482" t="n">
        <v>0.050672</v>
      </c>
      <c r="L57" s="482" t="n">
        <v>0.3691931753989284</v>
      </c>
      <c r="M57" s="482" t="n">
        <v>0.05777558101101535</v>
      </c>
      <c r="N57" s="483" t="n">
        <v>0.521937468522693</v>
      </c>
      <c r="O57" s="483" t="n">
        <v>4.371783781882893</v>
      </c>
      <c r="P57" s="483" t="n">
        <v>11.56239658954174</v>
      </c>
      <c r="Q57" s="483" t="n">
        <v>16.4805767999161</v>
      </c>
      <c r="R57" s="483" t="n">
        <v>2.88227102083848</v>
      </c>
      <c r="S57" s="483" t="n">
        <v>23.71726394001627</v>
      </c>
      <c r="T57" s="482" t="n">
        <v>0.0105700391213076</v>
      </c>
      <c r="U57" s="482" t="n">
        <v>0.2124110954060021</v>
      </c>
      <c r="V57" s="482" t="n">
        <v>0.1959203929369449</v>
      </c>
      <c r="W57" s="482" t="n">
        <v>0.9963382714100507</v>
      </c>
      <c r="X57" s="482" t="n">
        <v>0.1803270241572243</v>
      </c>
      <c r="Y57" s="482" t="n">
        <v>0.6943485555005051</v>
      </c>
      <c r="Z57" s="482" t="n">
        <v>0.6943485555005051</v>
      </c>
      <c r="AA57" s="484" t="n">
        <v>0.2605468280876443</v>
      </c>
    </row>
    <row r="58" ht="14" customHeight="1">
      <c r="A58" s="147" t="inlineStr">
        <is>
          <t>Oilfield Svcs/Equip.</t>
        </is>
      </c>
      <c r="B58" s="268" t="n">
        <v>97</v>
      </c>
      <c r="C58" s="482" t="n">
        <v>0.1078592727272727</v>
      </c>
      <c r="D58" s="482" t="n">
        <v>0.04649606278662376</v>
      </c>
      <c r="E58" s="482" t="n">
        <v>0.1193795100311501</v>
      </c>
      <c r="F58" s="482" t="n">
        <v>0.1854586896156506</v>
      </c>
      <c r="G58" s="483" t="n">
        <v>0.7870575641420728</v>
      </c>
      <c r="H58" s="483" t="n">
        <v>0.9512418716285248</v>
      </c>
      <c r="I58" s="482" t="n">
        <v>0.08192538747463221</v>
      </c>
      <c r="J58" s="482" t="n">
        <v>0.4831643535406242</v>
      </c>
      <c r="K58" s="482" t="n">
        <v>0.052913</v>
      </c>
      <c r="L58" s="482" t="n">
        <v>0.2719893286046465</v>
      </c>
      <c r="M58" s="482" t="n">
        <v>0.07043638484807473</v>
      </c>
      <c r="N58" s="483" t="n">
        <v>2.792715187270896</v>
      </c>
      <c r="O58" s="483" t="n">
        <v>0.7413518369384341</v>
      </c>
      <c r="P58" s="483" t="n">
        <v>8.629760666747599</v>
      </c>
      <c r="Q58" s="483" t="n">
        <v>14.90412900423401</v>
      </c>
      <c r="R58" s="483" t="n">
        <v>1.91838934733431</v>
      </c>
      <c r="S58" s="483" t="n">
        <v>33.30034533821973</v>
      </c>
      <c r="T58" s="482" t="n">
        <v>0.08926329482945863</v>
      </c>
      <c r="U58" s="482" t="n">
        <v>0.02888130812260767</v>
      </c>
      <c r="V58" s="482" t="n">
        <v>0.009080670748737559</v>
      </c>
      <c r="W58" s="482" t="n">
        <v>0.3218336130235796</v>
      </c>
      <c r="X58" s="482" t="n">
        <v>0.08646041260503463</v>
      </c>
      <c r="Y58" s="482" t="n">
        <v>0.6007508739894286</v>
      </c>
      <c r="Z58" s="482" t="n">
        <v>0.6007508739894286</v>
      </c>
      <c r="AA58" s="484" t="n">
        <v>0.04815454958406099</v>
      </c>
    </row>
    <row r="59" ht="14" customHeight="1">
      <c r="A59" s="147" t="inlineStr">
        <is>
          <t>Packaging &amp; Container</t>
        </is>
      </c>
      <c r="B59" s="268" t="n">
        <v>19</v>
      </c>
      <c r="C59" s="482" t="n">
        <v>0.04662999999999999</v>
      </c>
      <c r="D59" s="482" t="n">
        <v>0.09575576545544758</v>
      </c>
      <c r="E59" s="482" t="n">
        <v>0.148169271958356</v>
      </c>
      <c r="F59" s="482" t="n">
        <v>0.2357521513640869</v>
      </c>
      <c r="G59" s="483" t="n">
        <v>0.7489917958635104</v>
      </c>
      <c r="H59" s="483" t="n">
        <v>1.021929775043253</v>
      </c>
      <c r="I59" s="482" t="n">
        <v>0.0850780679669291</v>
      </c>
      <c r="J59" s="482" t="n">
        <v>0.2544790914399858</v>
      </c>
      <c r="K59" s="482" t="n">
        <v>0.047306</v>
      </c>
      <c r="L59" s="482" t="n">
        <v>0.3552945440978263</v>
      </c>
      <c r="M59" s="482" t="n">
        <v>0.06745596737321397</v>
      </c>
      <c r="N59" s="483" t="n">
        <v>1.840380702653133</v>
      </c>
      <c r="O59" s="483" t="n">
        <v>1.548223740598528</v>
      </c>
      <c r="P59" s="483" t="n">
        <v>9.709567233288313</v>
      </c>
      <c r="Q59" s="483" t="n">
        <v>15.7784503509321</v>
      </c>
      <c r="R59" s="483" t="n">
        <v>2.183967606333276</v>
      </c>
      <c r="S59" s="483" t="n">
        <v>16.42821628874671</v>
      </c>
      <c r="T59" s="482" t="n">
        <v>0.1265597291835957</v>
      </c>
      <c r="U59" s="482" t="n">
        <v>0.05469903495588267</v>
      </c>
      <c r="V59" s="482" t="n">
        <v>0.05137826205765818</v>
      </c>
      <c r="W59" s="482" t="n">
        <v>0.9395850663597047</v>
      </c>
      <c r="X59" s="482" t="n">
        <v>0.1229373185396537</v>
      </c>
      <c r="Y59" s="482" t="n">
        <v>0.5558248752014709</v>
      </c>
      <c r="Z59" s="482" t="n">
        <v>0.5558248752014709</v>
      </c>
      <c r="AA59" s="484" t="n">
        <v>0.09767327418705181</v>
      </c>
    </row>
    <row r="60" ht="14" customHeight="1">
      <c r="A60" s="147" t="inlineStr">
        <is>
          <t>Paper/Forest Products</t>
        </is>
      </c>
      <c r="B60" s="268" t="n">
        <v>6</v>
      </c>
      <c r="C60" s="482" t="n">
        <v>-0.003399999999999999</v>
      </c>
      <c r="D60" s="482" t="n">
        <v>0.06344838859073201</v>
      </c>
      <c r="E60" s="482" t="n">
        <v>0.1041420566237548</v>
      </c>
      <c r="F60" s="482" t="n">
        <v>0.2584269662921349</v>
      </c>
      <c r="G60" s="483" t="n">
        <v>0.7696751455408247</v>
      </c>
      <c r="H60" s="483" t="n">
        <v>0.9579784309693652</v>
      </c>
      <c r="I60" s="482" t="n">
        <v>0.08222583802123369</v>
      </c>
      <c r="J60" s="482" t="n">
        <v>0.5694450238249283</v>
      </c>
      <c r="K60" s="482" t="n">
        <v>0.052913</v>
      </c>
      <c r="L60" s="482" t="n">
        <v>0.3040485120489803</v>
      </c>
      <c r="M60" s="482" t="n">
        <v>0.0692912835074329</v>
      </c>
      <c r="N60" s="483" t="n">
        <v>1.73179843318611</v>
      </c>
      <c r="O60" s="483" t="n">
        <v>1.020398600175488</v>
      </c>
      <c r="P60" s="483" t="n">
        <v>8.183282663311115</v>
      </c>
      <c r="Q60" s="483" t="n">
        <v>15.51040551393499</v>
      </c>
      <c r="R60" s="483" t="n">
        <v>1.828131930747315</v>
      </c>
      <c r="S60" s="483" t="n">
        <v>12.85053914674168</v>
      </c>
      <c r="T60" s="482" t="n">
        <v>0.1324452193496245</v>
      </c>
      <c r="U60" s="482" t="n">
        <v>0.06210441241906629</v>
      </c>
      <c r="V60" s="482" t="n">
        <v>0.01800746451630479</v>
      </c>
      <c r="W60" s="482" t="n">
        <v>0.4428777043889832</v>
      </c>
      <c r="X60" s="482" t="n">
        <v>0.07013649983353679</v>
      </c>
      <c r="Y60" s="482" t="n">
        <v>3.32542194092827</v>
      </c>
      <c r="Z60" s="482" t="n">
        <v>3.32542194092827</v>
      </c>
      <c r="AA60" s="484" t="n">
        <v>0.06629497688919481</v>
      </c>
    </row>
    <row r="61" ht="14" customHeight="1">
      <c r="A61" s="147" t="inlineStr">
        <is>
          <t>Power</t>
        </is>
      </c>
      <c r="B61" s="268" t="n">
        <v>46</v>
      </c>
      <c r="C61" s="482" t="n">
        <v>0.06735309523809524</v>
      </c>
      <c r="D61" s="482" t="n">
        <v>0.2146995662202426</v>
      </c>
      <c r="E61" s="482" t="n">
        <v>0.06921872420290816</v>
      </c>
      <c r="F61" s="482" t="n">
        <v>0.1301368060411489</v>
      </c>
      <c r="G61" s="483" t="n">
        <v>0.314578407757456</v>
      </c>
      <c r="H61" s="483" t="n">
        <v>0.4824326713170223</v>
      </c>
      <c r="I61" s="482" t="n">
        <v>0.06101649714073919</v>
      </c>
      <c r="J61" s="482" t="n">
        <v>0.2537998869785569</v>
      </c>
      <c r="K61" s="482" t="n">
        <v>0.047306</v>
      </c>
      <c r="L61" s="482" t="n">
        <v>0.4257779210749665</v>
      </c>
      <c r="M61" s="482" t="n">
        <v>0.0501434075876579</v>
      </c>
      <c r="N61" s="483" t="n">
        <v>0.371733512663962</v>
      </c>
      <c r="O61" s="483" t="n">
        <v>4.695806461850637</v>
      </c>
      <c r="P61" s="483" t="n">
        <v>12.38141031908174</v>
      </c>
      <c r="Q61" s="483" t="n">
        <v>21.85908592325744</v>
      </c>
      <c r="R61" s="483" t="n">
        <v>2.275661991140573</v>
      </c>
      <c r="S61" s="483" t="n">
        <v>24.74117191376893</v>
      </c>
      <c r="T61" s="482" t="n">
        <v>0.03079340958638991</v>
      </c>
      <c r="U61" s="482" t="n">
        <v>0.3869461507399953</v>
      </c>
      <c r="V61" s="482" t="n">
        <v>0.2434614380604518</v>
      </c>
      <c r="W61" s="482" t="n">
        <v>1.309534377017714</v>
      </c>
      <c r="X61" s="482" t="n">
        <v>0.1239909398423414</v>
      </c>
      <c r="Y61" s="482" t="n">
        <v>0.5495789196209595</v>
      </c>
      <c r="Z61" s="482" t="n">
        <v>0.5495789196209595</v>
      </c>
      <c r="AA61" s="484" t="n">
        <v>0.2136659599909848</v>
      </c>
    </row>
    <row r="62" ht="14" customHeight="1">
      <c r="A62" s="147" t="inlineStr">
        <is>
          <t>Precious Metals</t>
        </is>
      </c>
      <c r="B62" s="268" t="n">
        <v>56</v>
      </c>
      <c r="C62" s="482" t="n">
        <v>0.4604545454545454</v>
      </c>
      <c r="D62" s="482" t="n">
        <v>0.403887750601932</v>
      </c>
      <c r="E62" s="482" t="n">
        <v>0.2545163786242219</v>
      </c>
      <c r="F62" s="482" t="n">
        <v>0.2874659709052919</v>
      </c>
      <c r="G62" s="483" t="n">
        <v>0.8308962073401722</v>
      </c>
      <c r="H62" s="483" t="n">
        <v>0.8365606512291942</v>
      </c>
      <c r="I62" s="482" t="n">
        <v>0.07681060504482207</v>
      </c>
      <c r="J62" s="482" t="n">
        <v>0.6994720354601837</v>
      </c>
      <c r="K62" s="482" t="n">
        <v>0.060195</v>
      </c>
      <c r="L62" s="482" t="n">
        <v>0.06786940112454905</v>
      </c>
      <c r="M62" s="482" t="n">
        <v>0.0746615642309349</v>
      </c>
      <c r="N62" s="483" t="n">
        <v>0.6777961663635823</v>
      </c>
      <c r="O62" s="483" t="n">
        <v>5.981737028870388</v>
      </c>
      <c r="P62" s="483" t="n">
        <v>10.67634114443133</v>
      </c>
      <c r="Q62" s="483" t="n">
        <v>14.28466837764744</v>
      </c>
      <c r="R62" s="483" t="n">
        <v>3.640098684621532</v>
      </c>
      <c r="S62" s="483" t="n">
        <v>26.79862442032861</v>
      </c>
      <c r="T62" s="482" t="n">
        <v>0.09099951355271327</v>
      </c>
      <c r="U62" s="482" t="n">
        <v>0.1818346291262826</v>
      </c>
      <c r="V62" s="482" t="n">
        <v>0.06119648959370419</v>
      </c>
      <c r="W62" s="482" t="n">
        <v>0.2945336815716106</v>
      </c>
      <c r="X62" s="482" t="n">
        <v>0.2352305688887669</v>
      </c>
      <c r="Y62" s="482" t="n">
        <v>0.2515095574154911</v>
      </c>
      <c r="Z62" s="482" t="n">
        <v>0.2515095574154911</v>
      </c>
      <c r="AA62" s="484" t="n">
        <v>0.4035016124436697</v>
      </c>
    </row>
    <row r="63" ht="14" customHeight="1">
      <c r="A63" s="147" t="inlineStr">
        <is>
          <t>Publishing &amp; Newspapers</t>
        </is>
      </c>
      <c r="B63" s="268" t="n">
        <v>19</v>
      </c>
      <c r="C63" s="482" t="n">
        <v>0.0003991666666666645</v>
      </c>
      <c r="D63" s="482" t="n">
        <v>0.09982688889791565</v>
      </c>
      <c r="E63" s="482" t="n">
        <v>0.1763277324445891</v>
      </c>
      <c r="F63" s="482" t="n">
        <v>0.2680075404995325</v>
      </c>
      <c r="G63" s="483" t="n">
        <v>0.511884073790114</v>
      </c>
      <c r="H63" s="483" t="n">
        <v>0.563007176601541</v>
      </c>
      <c r="I63" s="482" t="n">
        <v>0.06461012007642873</v>
      </c>
      <c r="J63" s="482" t="n">
        <v>0.3592530970001513</v>
      </c>
      <c r="K63" s="482" t="n">
        <v>0.050672</v>
      </c>
      <c r="L63" s="482" t="n">
        <v>0.1931571646372665</v>
      </c>
      <c r="M63" s="482" t="n">
        <v>0.05947095736046711</v>
      </c>
      <c r="N63" s="483" t="n">
        <v>2.164889673938959</v>
      </c>
      <c r="O63" s="483" t="n">
        <v>1.699407002413518</v>
      </c>
      <c r="P63" s="483" t="n">
        <v>11.2378175894095</v>
      </c>
      <c r="Q63" s="483" t="n">
        <v>17.16106357418429</v>
      </c>
      <c r="R63" s="483" t="n">
        <v>2.28394156252412</v>
      </c>
      <c r="S63" s="483" t="n">
        <v>15.18043676597106</v>
      </c>
      <c r="T63" s="482" t="n">
        <v>0.1289180360509259</v>
      </c>
      <c r="U63" s="482" t="n">
        <v>0.03261342577023911</v>
      </c>
      <c r="V63" s="482" t="n">
        <v>-0.005903931787050612</v>
      </c>
      <c r="W63" s="482" t="n">
        <v>0.02490284236328259</v>
      </c>
      <c r="X63" s="482" t="n">
        <v>0.1383473392034869</v>
      </c>
      <c r="Y63" s="482" t="n">
        <v>0.2308876732857225</v>
      </c>
      <c r="Z63" s="482" t="n">
        <v>0.2308876732857226</v>
      </c>
      <c r="AA63" s="484" t="n">
        <v>0.09923296854618283</v>
      </c>
    </row>
    <row r="64" ht="14" customHeight="1">
      <c r="A64" s="147" t="inlineStr">
        <is>
          <t>R.E.I.T.</t>
        </is>
      </c>
      <c r="B64" s="268" t="n">
        <v>190</v>
      </c>
      <c r="C64" s="482" t="n">
        <v>0.1259025625</v>
      </c>
      <c r="D64" s="482" t="n">
        <v>0.246434046710382</v>
      </c>
      <c r="E64" s="482" t="n">
        <v>0.03203080280639824</v>
      </c>
      <c r="F64" s="482" t="n">
        <v>0.03512976173437265</v>
      </c>
      <c r="G64" s="483" t="n">
        <v>0.4005418496731121</v>
      </c>
      <c r="H64" s="483" t="n">
        <v>0.6417984635762964</v>
      </c>
      <c r="I64" s="482" t="n">
        <v>0.06812421147550282</v>
      </c>
      <c r="J64" s="482" t="n">
        <v>0.2636928702689285</v>
      </c>
      <c r="K64" s="482" t="n">
        <v>0.047306</v>
      </c>
      <c r="L64" s="482" t="n">
        <v>0.4578858440045514</v>
      </c>
      <c r="M64" s="482" t="n">
        <v>0.05317666020925715</v>
      </c>
      <c r="N64" s="483" t="n">
        <v>0.1465432779057035</v>
      </c>
      <c r="O64" s="483" t="n">
        <v>10.65057083182297</v>
      </c>
      <c r="P64" s="483" t="n">
        <v>19.87117600341005</v>
      </c>
      <c r="Q64" s="483" t="n">
        <v>42.72529234608724</v>
      </c>
      <c r="R64" s="483" t="n">
        <v>1.991515224376197</v>
      </c>
      <c r="S64" s="483" t="n">
        <v>36.95445006717891</v>
      </c>
      <c r="T64" s="482" t="n">
        <v>1.39671699245857</v>
      </c>
      <c r="U64" s="482" t="n">
        <v>0.03602697995207422</v>
      </c>
      <c r="V64" s="482" t="n">
        <v>-0.1271118834844867</v>
      </c>
      <c r="W64" s="482" t="n">
        <v>-0.5756977397647453</v>
      </c>
      <c r="X64" s="482" t="n">
        <v>0.05037954337741777</v>
      </c>
      <c r="Y64" s="482" t="n">
        <v>1.948719550475664</v>
      </c>
      <c r="Z64" s="482" t="n">
        <v>1.948719550475664</v>
      </c>
      <c r="AA64" s="484" t="n">
        <v>0.2220977245502468</v>
      </c>
    </row>
    <row r="65" ht="14" customHeight="1">
      <c r="A65" s="147" t="inlineStr">
        <is>
          <t>Real Estate (Development)</t>
        </is>
      </c>
      <c r="B65" s="268" t="n">
        <v>14</v>
      </c>
      <c r="C65" s="482" t="n">
        <v>0.2860833333333333</v>
      </c>
      <c r="D65" s="482" t="n">
        <v>0.2152656124970027</v>
      </c>
      <c r="E65" s="482" t="n">
        <v>0.07043355884782262</v>
      </c>
      <c r="F65" s="482" t="n">
        <v>0.2529066927210552</v>
      </c>
      <c r="G65" s="483" t="n">
        <v>0.564103618717777</v>
      </c>
      <c r="H65" s="483" t="n">
        <v>0.8435660615974878</v>
      </c>
      <c r="I65" s="482" t="n">
        <v>0.07712304634724795</v>
      </c>
      <c r="J65" s="482" t="n">
        <v>0.5210233738934074</v>
      </c>
      <c r="K65" s="482" t="n">
        <v>0.052913</v>
      </c>
      <c r="L65" s="482" t="n">
        <v>0.5045319836293547</v>
      </c>
      <c r="M65" s="482" t="n">
        <v>0.05823422842746732</v>
      </c>
      <c r="N65" s="483" t="n">
        <v>0.3495106734844037</v>
      </c>
      <c r="O65" s="483" t="n">
        <v>3.033511815931911</v>
      </c>
      <c r="P65" s="483" t="n">
        <v>10.23049851021993</v>
      </c>
      <c r="Q65" s="483" t="n">
        <v>13.49146090212142</v>
      </c>
      <c r="R65" s="483" t="n">
        <v>0.9934847852491724</v>
      </c>
      <c r="S65" s="483" t="n">
        <v>11.35316344990594</v>
      </c>
      <c r="T65" s="482" t="n">
        <v>0.01643868833201774</v>
      </c>
      <c r="U65" s="482" t="n">
        <v>0.01052346555807318</v>
      </c>
      <c r="V65" s="482" t="n">
        <v>-0.04270410953737058</v>
      </c>
      <c r="W65" s="482" t="n">
        <v>-0.4661687857371448</v>
      </c>
      <c r="X65" s="482" t="n">
        <v>0.05060545910919269</v>
      </c>
      <c r="Y65" s="482" t="n">
        <v>0</v>
      </c>
      <c r="Z65" s="482" t="n">
        <v>0</v>
      </c>
      <c r="AA65" s="484" t="n">
        <v>0.2119193670061758</v>
      </c>
    </row>
    <row r="66" ht="14" customHeight="1">
      <c r="A66" s="147" t="inlineStr">
        <is>
          <t>Real Estate (General/Diversified)</t>
        </is>
      </c>
      <c r="B66" s="268" t="n">
        <v>12</v>
      </c>
      <c r="C66" s="482" t="n">
        <v>0.09596799999999998</v>
      </c>
      <c r="D66" s="482" t="n">
        <v>0.2145171149144254</v>
      </c>
      <c r="E66" s="482" t="n">
        <v>0.05194923071492735</v>
      </c>
      <c r="F66" s="482" t="n">
        <v>0.1703422523879273</v>
      </c>
      <c r="G66" s="483" t="n">
        <v>0.6269536358598106</v>
      </c>
      <c r="H66" s="483" t="n">
        <v>0.8099864769457396</v>
      </c>
      <c r="I66" s="482" t="n">
        <v>0.07562539687177999</v>
      </c>
      <c r="J66" s="482" t="n">
        <v>0.3120953532502339</v>
      </c>
      <c r="K66" s="482" t="n">
        <v>0.050672</v>
      </c>
      <c r="L66" s="482" t="n">
        <v>0.3487895535244244</v>
      </c>
      <c r="M66" s="482" t="n">
        <v>0.06250344665390668</v>
      </c>
      <c r="N66" s="483" t="n">
        <v>0.2466617017312334</v>
      </c>
      <c r="O66" s="483" t="n">
        <v>6.826157864808295</v>
      </c>
      <c r="P66" s="483" t="n">
        <v>17.28687007890765</v>
      </c>
      <c r="Q66" s="483" t="n">
        <v>26.87368409371554</v>
      </c>
      <c r="R66" s="483" t="n">
        <v>1.163963071324957</v>
      </c>
      <c r="S66" s="483" t="n">
        <v>40.24898788383488</v>
      </c>
      <c r="T66" s="482" t="n">
        <v>2.571677872860636</v>
      </c>
      <c r="U66" s="482" t="n">
        <v>0.02355541972290139</v>
      </c>
      <c r="V66" s="482" t="n">
        <v>0.004438671556642231</v>
      </c>
      <c r="W66" s="482" t="n">
        <v>0.9657439214915322</v>
      </c>
      <c r="X66" s="482" t="n">
        <v>0.1076759750750058</v>
      </c>
      <c r="Y66" s="482" t="n">
        <v>0.2696330589849109</v>
      </c>
      <c r="Z66" s="482" t="n">
        <v>0.2696330589849109</v>
      </c>
      <c r="AA66" s="484" t="n">
        <v>0.2208762102494246</v>
      </c>
    </row>
    <row r="67" ht="14" customHeight="1">
      <c r="A67" s="147" t="inlineStr">
        <is>
          <t>Real Estate (Operations &amp; Services)</t>
        </is>
      </c>
      <c r="B67" s="268" t="n">
        <v>54</v>
      </c>
      <c r="C67" s="482" t="n">
        <v>0.1262712121212121</v>
      </c>
      <c r="D67" s="482" t="n">
        <v>0.02850826824287702</v>
      </c>
      <c r="E67" s="482" t="n">
        <v>0.05942697407534873</v>
      </c>
      <c r="F67" s="482" t="n">
        <v>0.1958040125979997</v>
      </c>
      <c r="G67" s="483" t="n">
        <v>0.8575864326620388</v>
      </c>
      <c r="H67" s="483" t="n">
        <v>0.9654974066610451</v>
      </c>
      <c r="I67" s="482" t="n">
        <v>0.08256118433708262</v>
      </c>
      <c r="J67" s="482" t="n">
        <v>0.505596255690735</v>
      </c>
      <c r="K67" s="482" t="n">
        <v>0.052913</v>
      </c>
      <c r="L67" s="482" t="n">
        <v>0.1977040296597951</v>
      </c>
      <c r="M67" s="482" t="n">
        <v>0.07408434049119778</v>
      </c>
      <c r="N67" s="483" t="n">
        <v>2.516898805983872</v>
      </c>
      <c r="O67" s="483" t="n">
        <v>1.463930180972637</v>
      </c>
      <c r="P67" s="483" t="n">
        <v>21.95100173629954</v>
      </c>
      <c r="Q67" s="483" t="n">
        <v>49.59227496980819</v>
      </c>
      <c r="R67" s="483" t="n">
        <v>3.064134350613933</v>
      </c>
      <c r="S67" s="483" t="n">
        <v>107.335255977598</v>
      </c>
      <c r="T67" s="482" t="n">
        <v>0.09828580031656807</v>
      </c>
      <c r="U67" s="482" t="n">
        <v>0.01164914887880119</v>
      </c>
      <c r="V67" s="482" t="n">
        <v>0.02463935114828045</v>
      </c>
      <c r="W67" s="482" t="n">
        <v>0.9759756594486397</v>
      </c>
      <c r="X67" s="482" t="n">
        <v>0.03303284726431277</v>
      </c>
      <c r="Y67" s="482" t="n">
        <v>0.2705252680801516</v>
      </c>
      <c r="Z67" s="482" t="n">
        <v>0.2705252680801516</v>
      </c>
      <c r="AA67" s="484" t="n">
        <v>0.02848275629322381</v>
      </c>
    </row>
    <row r="68" ht="14" customHeight="1">
      <c r="A68" s="147" t="inlineStr">
        <is>
          <t>Recreation</t>
        </is>
      </c>
      <c r="B68" s="268" t="n">
        <v>49</v>
      </c>
      <c r="C68" s="482" t="n">
        <v>0.0914083333333333</v>
      </c>
      <c r="D68" s="482" t="n">
        <v>0.0969331006904999</v>
      </c>
      <c r="E68" s="482" t="n">
        <v>0.08024512691065157</v>
      </c>
      <c r="F68" s="482" t="n">
        <v>0.2598016946931607</v>
      </c>
      <c r="G68" s="483" t="n">
        <v>0.7364987182992697</v>
      </c>
      <c r="H68" s="483" t="n">
        <v>1.02347270022497</v>
      </c>
      <c r="I68" s="482" t="n">
        <v>0.08514688243003364</v>
      </c>
      <c r="J68" s="482" t="n">
        <v>0.4830813033858449</v>
      </c>
      <c r="K68" s="482" t="n">
        <v>0.052913</v>
      </c>
      <c r="L68" s="482" t="n">
        <v>0.3864674292017484</v>
      </c>
      <c r="M68" s="482" t="n">
        <v>0.0675772489837691</v>
      </c>
      <c r="N68" s="483" t="n">
        <v>1.2420065495162</v>
      </c>
      <c r="O68" s="483" t="n">
        <v>1.94042778252431</v>
      </c>
      <c r="P68" s="483" t="n">
        <v>10.39087231942838</v>
      </c>
      <c r="Q68" s="483" t="n">
        <v>23.95732461794663</v>
      </c>
      <c r="R68" s="483" t="n">
        <v>4.027683457299504</v>
      </c>
      <c r="S68" s="483" t="n">
        <v>119.0149869199765</v>
      </c>
      <c r="T68" s="482" t="n">
        <v>0.1501093095182446</v>
      </c>
      <c r="U68" s="482" t="n">
        <v>0.06687597274237704</v>
      </c>
      <c r="V68" s="482" t="n">
        <v>0.01335360442383761</v>
      </c>
      <c r="W68" s="482" t="n">
        <v>0.05662949029008234</v>
      </c>
      <c r="X68" s="482" t="n">
        <v>-0.1276115597172532</v>
      </c>
      <c r="Y68" s="482" t="n">
        <v>0.00562724438125783</v>
      </c>
      <c r="Z68" s="482" t="n">
        <v>0.005627244381257834</v>
      </c>
      <c r="AA68" s="484" t="n">
        <v>0.08062096745970526</v>
      </c>
    </row>
    <row r="69" ht="14" customHeight="1">
      <c r="A69" s="147" t="inlineStr">
        <is>
          <t>Reinsurance</t>
        </is>
      </c>
      <c r="B69" s="268" t="n">
        <v>1</v>
      </c>
      <c r="C69" s="482" t="n">
        <v>0.09390000000000001</v>
      </c>
      <c r="D69" s="482" t="n">
        <v>0.07213952654232425</v>
      </c>
      <c r="E69" s="482" t="n">
        <v>0.1014433811591443</v>
      </c>
      <c r="F69" s="482" t="n">
        <v>0.3035856573705179</v>
      </c>
      <c r="G69" s="483" t="n">
        <v>0.5777016987693434</v>
      </c>
      <c r="H69" s="483" t="n">
        <v>0.5813323223955235</v>
      </c>
      <c r="I69" s="482" t="n">
        <v>0.06542742157884035</v>
      </c>
      <c r="J69" s="482" t="n">
        <v>0.1921142517209114</v>
      </c>
      <c r="K69" s="482" t="n">
        <v>0.047306</v>
      </c>
      <c r="L69" s="482" t="n">
        <v>0.3029767056496862</v>
      </c>
      <c r="M69" s="482" t="n">
        <v>0.05635389895782815</v>
      </c>
      <c r="N69" s="483" t="n">
        <v>2.013612127842784</v>
      </c>
      <c r="O69" s="483" t="n">
        <v>0.6526502811858702</v>
      </c>
      <c r="P69" s="483" t="n">
        <v>8.670902949469651</v>
      </c>
      <c r="Q69" s="483" t="n">
        <v>9.021948392609385</v>
      </c>
      <c r="R69" s="483" t="n">
        <v>1.02311753902663</v>
      </c>
      <c r="S69" s="483" t="n">
        <v>15.42110726643599</v>
      </c>
      <c r="T69" s="482" t="n">
        <v>0.01425753228120516</v>
      </c>
      <c r="U69" s="482" t="n">
        <v>0</v>
      </c>
      <c r="V69" s="482" t="n">
        <v>-0.002232783357245335</v>
      </c>
      <c r="W69" s="482" t="n">
        <v>0.3089932998182829</v>
      </c>
      <c r="X69" s="482" t="n">
        <v>0.07791857643569695</v>
      </c>
      <c r="Y69" s="482" t="n">
        <v>0.2733564013840831</v>
      </c>
      <c r="Z69" s="482" t="n">
        <v>0.273356401384083</v>
      </c>
      <c r="AA69" s="484" t="n">
        <v>0.07234028092207991</v>
      </c>
    </row>
    <row r="70" ht="14" customHeight="1">
      <c r="A70" s="147" t="inlineStr">
        <is>
          <t>Restaurant/Dining</t>
        </is>
      </c>
      <c r="B70" s="268" t="n">
        <v>64</v>
      </c>
      <c r="C70" s="482" t="n">
        <v>0.1393538461538462</v>
      </c>
      <c r="D70" s="482" t="n">
        <v>0.1578786273430299</v>
      </c>
      <c r="E70" s="482" t="n">
        <v>0.1836043629376828</v>
      </c>
      <c r="F70" s="482" t="n">
        <v>0.2130575881425497</v>
      </c>
      <c r="G70" s="483" t="n">
        <v>0.7830073823550779</v>
      </c>
      <c r="H70" s="483" t="n">
        <v>0.9240873147803257</v>
      </c>
      <c r="I70" s="482" t="n">
        <v>0.08071429423920252</v>
      </c>
      <c r="J70" s="482" t="n">
        <v>0.411494619604859</v>
      </c>
      <c r="K70" s="482" t="n">
        <v>0.050672</v>
      </c>
      <c r="L70" s="482" t="n">
        <v>0.2139589276364729</v>
      </c>
      <c r="M70" s="482" t="n">
        <v>0.07157604548474453</v>
      </c>
      <c r="N70" s="483" t="n">
        <v>1.51285654737222</v>
      </c>
      <c r="O70" s="483" t="n">
        <v>4.165514392232257</v>
      </c>
      <c r="P70" s="483" t="n">
        <v>17.49429605278215</v>
      </c>
      <c r="Q70" s="483" t="n">
        <v>30.15118970795467</v>
      </c>
      <c r="R70" s="483" t="n">
        <v>74.73531863615672</v>
      </c>
      <c r="S70" s="483" t="n">
        <v>48.32886275673705</v>
      </c>
      <c r="T70" s="482" t="n">
        <v>0.0279065138233857</v>
      </c>
      <c r="U70" s="482" t="n">
        <v>0.05983156009616705</v>
      </c>
      <c r="V70" s="482" t="n">
        <v>0.03691620357476982</v>
      </c>
      <c r="W70" s="482" t="n">
        <v>0.3761320264700579</v>
      </c>
      <c r="X70" s="482" t="n">
        <v>0.001027511830047461</v>
      </c>
      <c r="Y70" s="482" t="n">
        <v>0.6454113964275203</v>
      </c>
      <c r="Z70" s="482" t="n">
        <v>0.6454113964275203</v>
      </c>
      <c r="AA70" s="484" t="n">
        <v>0.1388383491138674</v>
      </c>
    </row>
    <row r="71" ht="14" customHeight="1">
      <c r="A71" s="147" t="inlineStr">
        <is>
          <t>Retail (Automotive)</t>
        </is>
      </c>
      <c r="B71" s="268" t="n">
        <v>34</v>
      </c>
      <c r="C71" s="482" t="n">
        <v>0.1542195238095238</v>
      </c>
      <c r="D71" s="482" t="n">
        <v>0.06243926058642881</v>
      </c>
      <c r="E71" s="482" t="n">
        <v>0.1219047629361606</v>
      </c>
      <c r="F71" s="482" t="n">
        <v>0.2252251277604007</v>
      </c>
      <c r="G71" s="483" t="n">
        <v>0.713248607812822</v>
      </c>
      <c r="H71" s="483" t="n">
        <v>0.9360151956832995</v>
      </c>
      <c r="I71" s="482" t="n">
        <v>0.08124627772747516</v>
      </c>
      <c r="J71" s="482" t="n">
        <v>0.4458209569703029</v>
      </c>
      <c r="K71" s="482" t="n">
        <v>0.050672</v>
      </c>
      <c r="L71" s="482" t="n">
        <v>0.312031037234781</v>
      </c>
      <c r="M71" s="482" t="n">
        <v>0.06775334495577662</v>
      </c>
      <c r="N71" s="483" t="n">
        <v>2.341077286457314</v>
      </c>
      <c r="O71" s="483" t="n">
        <v>1.270567409688029</v>
      </c>
      <c r="P71" s="483" t="n">
        <v>14.78728985763829</v>
      </c>
      <c r="Q71" s="483" t="n">
        <v>21.72632852434372</v>
      </c>
      <c r="R71" s="483" t="n">
        <v>7.478670033250118</v>
      </c>
      <c r="S71" s="483" t="n">
        <v>54.82641508404895</v>
      </c>
      <c r="T71" s="482" t="n">
        <v>0.1103301727419738</v>
      </c>
      <c r="U71" s="482" t="n">
        <v>0.02123403702293873</v>
      </c>
      <c r="V71" s="482" t="n">
        <v>0.02250584245230053</v>
      </c>
      <c r="W71" s="482" t="n">
        <v>0.461778096222205</v>
      </c>
      <c r="X71" s="482" t="n">
        <v>0.3438406473025444</v>
      </c>
      <c r="Y71" s="482" t="n">
        <v>0.06778339897708052</v>
      </c>
      <c r="Z71" s="482" t="n">
        <v>0.06778339897708052</v>
      </c>
      <c r="AA71" s="484" t="n">
        <v>0.0583825886047186</v>
      </c>
    </row>
    <row r="72" ht="14" customHeight="1">
      <c r="A72" s="147" t="inlineStr">
        <is>
          <t>Retail (Building Supply)</t>
        </is>
      </c>
      <c r="B72" s="268" t="n">
        <v>14</v>
      </c>
      <c r="C72" s="482" t="n">
        <v>0.007334166666666662</v>
      </c>
      <c r="D72" s="482" t="n">
        <v>0.1193852970381687</v>
      </c>
      <c r="E72" s="482" t="n">
        <v>0.3494656524485739</v>
      </c>
      <c r="F72" s="482" t="n">
        <v>0.2409399330749097</v>
      </c>
      <c r="G72" s="483" t="n">
        <v>1.317657066097484</v>
      </c>
      <c r="H72" s="483" t="n">
        <v>1.535309434029173</v>
      </c>
      <c r="I72" s="482" t="n">
        <v>0.1079748007577011</v>
      </c>
      <c r="J72" s="482" t="n">
        <v>0.4588350569025514</v>
      </c>
      <c r="K72" s="482" t="n">
        <v>0.052913</v>
      </c>
      <c r="L72" s="482" t="n">
        <v>0.1888990658131124</v>
      </c>
      <c r="M72" s="482" t="n">
        <v>0.09507487396524136</v>
      </c>
      <c r="N72" s="483" t="n">
        <v>3.407057313355093</v>
      </c>
      <c r="O72" s="483" t="n">
        <v>2.258992676124385</v>
      </c>
      <c r="P72" s="483" t="n">
        <v>14.42218164525563</v>
      </c>
      <c r="Q72" s="483" t="n">
        <v>19.10277195313944</v>
      </c>
      <c r="R72" s="483" t="n">
        <v>132.2044071168642</v>
      </c>
      <c r="S72" s="483" t="n">
        <v>23.4652767182357</v>
      </c>
      <c r="T72" s="482" t="n">
        <v>0.09607380193514467</v>
      </c>
      <c r="U72" s="482" t="n">
        <v>0.02420208532286543</v>
      </c>
      <c r="V72" s="482" t="n">
        <v>0.05754849649431835</v>
      </c>
      <c r="W72" s="482" t="n">
        <v>0.7351554799221606</v>
      </c>
      <c r="X72" s="482" t="inlineStr">
        <is>
          <t>NA</t>
        </is>
      </c>
      <c r="Y72" s="482" t="n">
        <v>0.5400747405477563</v>
      </c>
      <c r="Z72" s="482" t="n">
        <v>0.5400747405477563</v>
      </c>
      <c r="AA72" s="484" t="n">
        <v>0.1180903934644281</v>
      </c>
    </row>
    <row r="73" ht="14" customHeight="1">
      <c r="A73" s="147" t="inlineStr">
        <is>
          <t>Retail (Distributors)</t>
        </is>
      </c>
      <c r="B73" s="268" t="n">
        <v>62</v>
      </c>
      <c r="C73" s="482" t="n">
        <v>0.1011516666666666</v>
      </c>
      <c r="D73" s="482" t="n">
        <v>0.1009716294559733</v>
      </c>
      <c r="E73" s="482" t="n">
        <v>0.1611399066695283</v>
      </c>
      <c r="F73" s="482" t="n">
        <v>0.2340424392522792</v>
      </c>
      <c r="G73" s="483" t="n">
        <v>0.8016320288830955</v>
      </c>
      <c r="H73" s="483" t="n">
        <v>0.9484338145727029</v>
      </c>
      <c r="I73" s="482" t="n">
        <v>0.08180014812994255</v>
      </c>
      <c r="J73" s="482" t="n">
        <v>0.3929235163979659</v>
      </c>
      <c r="K73" s="482" t="n">
        <v>0.050672</v>
      </c>
      <c r="L73" s="482" t="n">
        <v>0.2201900080484169</v>
      </c>
      <c r="M73" s="482" t="n">
        <v>0.07215667392072084</v>
      </c>
      <c r="N73" s="483" t="n">
        <v>1.830130602427373</v>
      </c>
      <c r="O73" s="483" t="n">
        <v>1.894802191775475</v>
      </c>
      <c r="P73" s="483" t="n">
        <v>13.70830732799682</v>
      </c>
      <c r="Q73" s="483" t="n">
        <v>17.10908961822408</v>
      </c>
      <c r="R73" s="483" t="n">
        <v>4.041707359923413</v>
      </c>
      <c r="S73" s="483" t="n">
        <v>28.79659905671755</v>
      </c>
      <c r="T73" s="482" t="n">
        <v>0.1742816366618782</v>
      </c>
      <c r="U73" s="482" t="n">
        <v>0.05615461995326568</v>
      </c>
      <c r="V73" s="482" t="n">
        <v>0.115792693288742</v>
      </c>
      <c r="W73" s="482" t="n">
        <v>1.522067587834988</v>
      </c>
      <c r="X73" s="482" t="n">
        <v>0.1833373242733274</v>
      </c>
      <c r="Y73" s="482" t="n">
        <v>0.3515139872979697</v>
      </c>
      <c r="Z73" s="482" t="n">
        <v>0.3515139872979698</v>
      </c>
      <c r="AA73" s="484" t="n">
        <v>0.1032102061381627</v>
      </c>
    </row>
    <row r="74" ht="14" customHeight="1">
      <c r="A74" s="147" t="inlineStr">
        <is>
          <t>Retail (General)</t>
        </is>
      </c>
      <c r="B74" s="268" t="n">
        <v>23</v>
      </c>
      <c r="C74" s="482" t="n">
        <v>0.09921764705882354</v>
      </c>
      <c r="D74" s="482" t="n">
        <v>0.06802333445025074</v>
      </c>
      <c r="E74" s="482" t="n">
        <v>0.1359082538480758</v>
      </c>
      <c r="F74" s="482" t="n">
        <v>0.1993283547887691</v>
      </c>
      <c r="G74" s="483" t="n">
        <v>0.7809280399984467</v>
      </c>
      <c r="H74" s="483" t="n">
        <v>0.8052405395912856</v>
      </c>
      <c r="I74" s="482" t="n">
        <v>0.07541372806577135</v>
      </c>
      <c r="J74" s="482" t="n">
        <v>0.433427459331772</v>
      </c>
      <c r="K74" s="482" t="n">
        <v>0.050672</v>
      </c>
      <c r="L74" s="482" t="n">
        <v>0.0735910047808918</v>
      </c>
      <c r="M74" s="482" t="n">
        <v>0.07266070858883129</v>
      </c>
      <c r="N74" s="483" t="n">
        <v>3.50631839900709</v>
      </c>
      <c r="O74" s="483" t="n">
        <v>2.109214581658399</v>
      </c>
      <c r="P74" s="483" t="n">
        <v>17.37850333571857</v>
      </c>
      <c r="Q74" s="483" t="n">
        <v>32.4376517932853</v>
      </c>
      <c r="R74" s="483" t="n">
        <v>7.192707124449913</v>
      </c>
      <c r="S74" s="483" t="n">
        <v>51.00402110176589</v>
      </c>
      <c r="T74" s="482" t="n">
        <v>-0.001092869869442083</v>
      </c>
      <c r="U74" s="482" t="n">
        <v>0.08175121451487377</v>
      </c>
      <c r="V74" s="482" t="n">
        <v>0.04866167273213698</v>
      </c>
      <c r="W74" s="482" t="n">
        <v>0.9396593445508252</v>
      </c>
      <c r="X74" s="482" t="n">
        <v>0.2605230828835304</v>
      </c>
      <c r="Y74" s="482" t="n">
        <v>0.1172686012019141</v>
      </c>
      <c r="Z74" s="482" t="n">
        <v>0.1172686012019141</v>
      </c>
      <c r="AA74" s="484" t="n">
        <v>0.0711643313205802</v>
      </c>
    </row>
    <row r="75" ht="14" customHeight="1">
      <c r="A75" s="147" t="inlineStr">
        <is>
          <t>Retail (Grocery and Food)</t>
        </is>
      </c>
      <c r="B75" s="268" t="n">
        <v>15</v>
      </c>
      <c r="C75" s="482" t="n">
        <v>-0.02634000000000001</v>
      </c>
      <c r="D75" s="482" t="n">
        <v>0.02291904284365564</v>
      </c>
      <c r="E75" s="482" t="n">
        <v>0.06763219560214334</v>
      </c>
      <c r="F75" s="482" t="n">
        <v>0.1683250787933364</v>
      </c>
      <c r="G75" s="483" t="n">
        <v>0.8483611176919518</v>
      </c>
      <c r="H75" s="483" t="n">
        <v>1.118303794493113</v>
      </c>
      <c r="I75" s="482" t="n">
        <v>0.08937634923439286</v>
      </c>
      <c r="J75" s="482" t="n">
        <v>0.4942294835852475</v>
      </c>
      <c r="K75" s="482" t="n">
        <v>0.052913</v>
      </c>
      <c r="L75" s="482" t="n">
        <v>0.341889525326874</v>
      </c>
      <c r="M75" s="482" t="n">
        <v>0.07238731195941303</v>
      </c>
      <c r="N75" s="483" t="n">
        <v>4.647896587530888</v>
      </c>
      <c r="O75" s="483" t="n">
        <v>0.4900949912566914</v>
      </c>
      <c r="P75" s="483" t="n">
        <v>8.941596612794147</v>
      </c>
      <c r="Q75" s="483" t="n">
        <v>26.53328940759531</v>
      </c>
      <c r="R75" s="483" t="n">
        <v>3.934869386323708</v>
      </c>
      <c r="S75" s="483" t="n">
        <v>20.54145124502642</v>
      </c>
      <c r="T75" s="482" t="n">
        <v>0.0006101959405518128</v>
      </c>
      <c r="U75" s="482" t="n">
        <v>-0.001286278476755283</v>
      </c>
      <c r="V75" s="482" t="n">
        <v>-0.01902096474950331</v>
      </c>
      <c r="W75" s="482" t="n">
        <v>-0.986095767319352</v>
      </c>
      <c r="X75" s="482" t="n">
        <v>0.1289757404783532</v>
      </c>
      <c r="Y75" s="482" t="n">
        <v>0.374369182997856</v>
      </c>
      <c r="Z75" s="482" t="n">
        <v>0.3743691829978559</v>
      </c>
      <c r="AA75" s="484" t="n">
        <v>0.01727112934058555</v>
      </c>
    </row>
    <row r="76" ht="14" customHeight="1">
      <c r="A76" s="147" t="inlineStr">
        <is>
          <t>Retail (REITs)</t>
        </is>
      </c>
      <c r="B76" s="268" t="n">
        <v>26</v>
      </c>
      <c r="C76" s="482" t="n">
        <v>0.131436</v>
      </c>
      <c r="D76" s="482" t="n">
        <v>0.4024828941128652</v>
      </c>
      <c r="E76" s="482" t="n">
        <v>0.05163953108307977</v>
      </c>
      <c r="F76" s="482" t="n">
        <v>0.01530741623454399</v>
      </c>
      <c r="G76" s="483" t="n">
        <v>0.442715972660596</v>
      </c>
      <c r="H76" s="483" t="n">
        <v>0.620739021744814</v>
      </c>
      <c r="I76" s="482" t="n">
        <v>0.06718496036981871</v>
      </c>
      <c r="J76" s="482" t="n">
        <v>0.18768911101931</v>
      </c>
      <c r="K76" s="482" t="n">
        <v>0.047306</v>
      </c>
      <c r="L76" s="482" t="n">
        <v>0.3606948068513497</v>
      </c>
      <c r="M76" s="482" t="n">
        <v>0.05574896546559382</v>
      </c>
      <c r="N76" s="483" t="n">
        <v>0.1358141102577872</v>
      </c>
      <c r="O76" s="483" t="n">
        <v>12.04363486179559</v>
      </c>
      <c r="P76" s="483" t="n">
        <v>16.72686143770284</v>
      </c>
      <c r="Q76" s="483" t="n">
        <v>31.16527146395935</v>
      </c>
      <c r="R76" s="483" t="n">
        <v>2.07565447564478</v>
      </c>
      <c r="S76" s="483" t="n">
        <v>368.6869306176905</v>
      </c>
      <c r="T76" s="482" t="n">
        <v>0.01244439175304288</v>
      </c>
      <c r="U76" s="482" t="n">
        <v>0.05037309275944871</v>
      </c>
      <c r="V76" s="482" t="n">
        <v>-0.2285465829626117</v>
      </c>
      <c r="W76" s="482" t="n">
        <v>-0.6131931990634106</v>
      </c>
      <c r="X76" s="482" t="n">
        <v>0.06364375400351006</v>
      </c>
      <c r="Y76" s="482" t="n">
        <v>1.614333910763689</v>
      </c>
      <c r="Z76" s="482" t="n">
        <v>1.614333910763689</v>
      </c>
      <c r="AA76" s="484" t="n">
        <v>0.3864440865122347</v>
      </c>
    </row>
    <row r="77" ht="14" customHeight="1">
      <c r="A77" s="147" t="inlineStr">
        <is>
          <t>Retail (Special Lines)</t>
        </is>
      </c>
      <c r="B77" s="268" t="n">
        <v>94</v>
      </c>
      <c r="C77" s="482" t="n">
        <v>0.06960433333333332</v>
      </c>
      <c r="D77" s="482" t="n">
        <v>0.07727354450343683</v>
      </c>
      <c r="E77" s="482" t="n">
        <v>0.215390934656582</v>
      </c>
      <c r="F77" s="482" t="n">
        <v>0.244149524999507</v>
      </c>
      <c r="G77" s="483" t="n">
        <v>1.001877579031808</v>
      </c>
      <c r="H77" s="483" t="n">
        <v>1.089399680292466</v>
      </c>
      <c r="I77" s="482" t="n">
        <v>0.088087225741044</v>
      </c>
      <c r="J77" s="482" t="n">
        <v>0.5324516747558207</v>
      </c>
      <c r="K77" s="482" t="n">
        <v>0.052913</v>
      </c>
      <c r="L77" s="482" t="n">
        <v>0.165003484848689</v>
      </c>
      <c r="M77" s="482" t="n">
        <v>0.0801006485684676</v>
      </c>
      <c r="N77" s="483" t="n">
        <v>2.98844717708956</v>
      </c>
      <c r="O77" s="483" t="n">
        <v>1.626083870573573</v>
      </c>
      <c r="P77" s="483" t="n">
        <v>11.46754934307429</v>
      </c>
      <c r="Q77" s="483" t="n">
        <v>20.01779594667462</v>
      </c>
      <c r="R77" s="483" t="n">
        <v>7.254263339516967</v>
      </c>
      <c r="S77" s="483" t="n">
        <v>314.0097616349124</v>
      </c>
      <c r="T77" s="482" t="n">
        <v>0.09802879692480027</v>
      </c>
      <c r="U77" s="482" t="n">
        <v>0.03467393814079728</v>
      </c>
      <c r="V77" s="482" t="n">
        <v>0.01590317882534068</v>
      </c>
      <c r="W77" s="482" t="n">
        <v>0.3836540602643476</v>
      </c>
      <c r="X77" s="482" t="n">
        <v>0.301150755894425</v>
      </c>
      <c r="Y77" s="482" t="n">
        <v>0.2993316850254261</v>
      </c>
      <c r="Z77" s="482" t="n">
        <v>0.2993316850254261</v>
      </c>
      <c r="AA77" s="484" t="n">
        <v>0.08075162903461014</v>
      </c>
    </row>
    <row r="78" ht="14" customHeight="1">
      <c r="A78" s="147" t="inlineStr">
        <is>
          <t>Rubber&amp; Tires</t>
        </is>
      </c>
      <c r="B78" s="268" t="n">
        <v>3</v>
      </c>
      <c r="C78" s="482" t="n">
        <v>-0.13225</v>
      </c>
      <c r="D78" s="482" t="n">
        <v>0.02242369876648091</v>
      </c>
      <c r="E78" s="482" t="n">
        <v>0.03168147259457092</v>
      </c>
      <c r="F78" s="482" t="e">
        <v>#DIV/0!</v>
      </c>
      <c r="G78" s="483" t="n">
        <v>0.1543579081482881</v>
      </c>
      <c r="H78" s="483" t="n">
        <v>0.5294301574135339</v>
      </c>
      <c r="I78" s="482" t="n">
        <v>0.06311258502064361</v>
      </c>
      <c r="J78" s="482" t="n">
        <v>0.5076716036736197</v>
      </c>
      <c r="K78" s="482" t="n">
        <v>0.052913</v>
      </c>
      <c r="L78" s="482" t="n">
        <v>0.7818843429629488</v>
      </c>
      <c r="M78" s="482" t="n">
        <v>0.04479472762848332</v>
      </c>
      <c r="N78" s="483" t="n">
        <v>1.3941683441358</v>
      </c>
      <c r="O78" s="483" t="n">
        <v>0.5884475951540894</v>
      </c>
      <c r="P78" s="483" t="n">
        <v>6.744024716994881</v>
      </c>
      <c r="Q78" s="483" t="n">
        <v>22.84162860078892</v>
      </c>
      <c r="R78" s="483" t="n">
        <v>0.7891497065800975</v>
      </c>
      <c r="S78" s="483" t="e">
        <v>#DIV/0!</v>
      </c>
      <c r="T78" s="482" t="n">
        <v>0.1292814599781938</v>
      </c>
      <c r="U78" s="482" t="n">
        <v>0.05050259637942792</v>
      </c>
      <c r="V78" s="482" t="n">
        <v>-0.0003263286687133399</v>
      </c>
      <c r="W78" s="482" t="n">
        <v>0.3864725146795398</v>
      </c>
      <c r="X78" s="482" t="n">
        <v>-0.3640800083778406</v>
      </c>
      <c r="Y78" s="482" t="e">
        <v>#DIV/0!</v>
      </c>
      <c r="Z78" s="482" t="e">
        <v>#DIV/0!</v>
      </c>
      <c r="AA78" s="484" t="n">
        <v>0.0249469785677154</v>
      </c>
    </row>
    <row r="79" ht="14" customHeight="1">
      <c r="A79" s="147" t="inlineStr">
        <is>
          <t>Semiconductor</t>
        </is>
      </c>
      <c r="B79" s="268" t="n">
        <v>66</v>
      </c>
      <c r="C79" s="482" t="n">
        <v>0.1117713043478261</v>
      </c>
      <c r="D79" s="482" t="n">
        <v>0.3532779191425264</v>
      </c>
      <c r="E79" s="482" t="n">
        <v>0.2722696683513359</v>
      </c>
      <c r="F79" s="482" t="n">
        <v>0.1579041821254234</v>
      </c>
      <c r="G79" s="483" t="n">
        <v>1.504649275474425</v>
      </c>
      <c r="H79" s="483" t="n">
        <v>1.518199402905489</v>
      </c>
      <c r="I79" s="482" t="n">
        <v>0.1072116933695848</v>
      </c>
      <c r="J79" s="482" t="n">
        <v>0.5582720818010325</v>
      </c>
      <c r="K79" s="482" t="n">
        <v>0.052913</v>
      </c>
      <c r="L79" s="482" t="n">
        <v>0.02525662180453639</v>
      </c>
      <c r="M79" s="482" t="n">
        <v>0.1055061908992829</v>
      </c>
      <c r="N79" s="483" t="n">
        <v>1.206668138058751</v>
      </c>
      <c r="O79" s="483" t="n">
        <v>15.70064938278062</v>
      </c>
      <c r="P79" s="483" t="n">
        <v>34.75309880575283</v>
      </c>
      <c r="Q79" s="483" t="n">
        <v>44.2986309983463</v>
      </c>
      <c r="R79" s="483" t="n">
        <v>13.31217620946142</v>
      </c>
      <c r="S79" s="483" t="n">
        <v>100.1844033428251</v>
      </c>
      <c r="T79" s="482" t="n">
        <v>0.2261798105356759</v>
      </c>
      <c r="U79" s="482" t="n">
        <v>0.1054897123198143</v>
      </c>
      <c r="V79" s="482" t="n">
        <v>0.04411912078641628</v>
      </c>
      <c r="W79" s="482" t="n">
        <v>0.3528579818500374</v>
      </c>
      <c r="X79" s="482" t="n">
        <v>0.313647157765139</v>
      </c>
      <c r="Y79" s="482" t="n">
        <v>0.163921671873215</v>
      </c>
      <c r="Z79" s="482" t="n">
        <v>0.163921671873215</v>
      </c>
      <c r="AA79" s="484" t="n">
        <v>0.3646671843853678</v>
      </c>
    </row>
    <row r="80" ht="14" customHeight="1">
      <c r="A80" s="147" t="inlineStr">
        <is>
          <t>Semiconductor Equip</t>
        </is>
      </c>
      <c r="B80" s="268" t="n">
        <v>31</v>
      </c>
      <c r="C80" s="482" t="n">
        <v>0.0937880769230769</v>
      </c>
      <c r="D80" s="482" t="n">
        <v>0.2617117457785153</v>
      </c>
      <c r="E80" s="482" t="n">
        <v>0.2840446306841209</v>
      </c>
      <c r="F80" s="482" t="n">
        <v>0.1706597834515437</v>
      </c>
      <c r="G80" s="483" t="n">
        <v>1.391691156337394</v>
      </c>
      <c r="H80" s="483" t="n">
        <v>1.397223424739433</v>
      </c>
      <c r="I80" s="482" t="n">
        <v>0.1018161647433787</v>
      </c>
      <c r="J80" s="482" t="n">
        <v>0.5007740861926404</v>
      </c>
      <c r="K80" s="482" t="n">
        <v>0.052913</v>
      </c>
      <c r="L80" s="482" t="n">
        <v>0.04635901910017966</v>
      </c>
      <c r="M80" s="482" t="n">
        <v>0.09893581330056925</v>
      </c>
      <c r="N80" s="483" t="n">
        <v>1.85110867228321</v>
      </c>
      <c r="O80" s="483" t="n">
        <v>7.607009043397782</v>
      </c>
      <c r="P80" s="483" t="n">
        <v>24.7432463754865</v>
      </c>
      <c r="Q80" s="483" t="n">
        <v>28.81067195233642</v>
      </c>
      <c r="R80" s="483" t="n">
        <v>9.702593586231997</v>
      </c>
      <c r="S80" s="483" t="n">
        <v>46.82523406292883</v>
      </c>
      <c r="T80" s="482" t="n">
        <v>0.2949356653926138</v>
      </c>
      <c r="U80" s="482" t="n">
        <v>0.06315919037709451</v>
      </c>
      <c r="V80" s="482" t="n">
        <v>0.04136868442374109</v>
      </c>
      <c r="W80" s="482" t="n">
        <v>0.2745310217095421</v>
      </c>
      <c r="X80" s="482" t="n">
        <v>0.3577797316274757</v>
      </c>
      <c r="Y80" s="482" t="n">
        <v>0.1935644354407952</v>
      </c>
      <c r="Z80" s="482" t="n">
        <v>0.1935644354407953</v>
      </c>
      <c r="AA80" s="484" t="n">
        <v>0.268634995359437</v>
      </c>
    </row>
    <row r="81" ht="14" customHeight="1">
      <c r="A81" s="147" t="inlineStr">
        <is>
          <t>Shipbuilding &amp; Marine</t>
        </is>
      </c>
      <c r="B81" s="268" t="n">
        <v>8</v>
      </c>
      <c r="C81" s="482" t="n">
        <v>-0.00118</v>
      </c>
      <c r="D81" s="482" t="n">
        <v>0.1260212388380478</v>
      </c>
      <c r="E81" s="482" t="n">
        <v>0.1199233294383786</v>
      </c>
      <c r="F81" s="482" t="n">
        <v>0.2057799810146609</v>
      </c>
      <c r="G81" s="483" t="n">
        <v>0.6607667999490512</v>
      </c>
      <c r="H81" s="483" t="n">
        <v>0.7529325380371511</v>
      </c>
      <c r="I81" s="482" t="n">
        <v>0.07308079119645694</v>
      </c>
      <c r="J81" s="482" t="n">
        <v>0.500867632683849</v>
      </c>
      <c r="K81" s="482" t="n">
        <v>0.052913</v>
      </c>
      <c r="L81" s="482" t="n">
        <v>0.1840078373164547</v>
      </c>
      <c r="M81" s="482" t="n">
        <v>0.06693565788096567</v>
      </c>
      <c r="N81" s="483" t="n">
        <v>0.936400727916788</v>
      </c>
      <c r="O81" s="483" t="n">
        <v>1.736253761657674</v>
      </c>
      <c r="P81" s="483" t="n">
        <v>7.953007498779779</v>
      </c>
      <c r="Q81" s="483" t="n">
        <v>12.81228537554587</v>
      </c>
      <c r="R81" s="483" t="n">
        <v>1.499212209670936</v>
      </c>
      <c r="S81" s="483" t="n">
        <v>18.87317661275351</v>
      </c>
      <c r="T81" s="482" t="n">
        <v>0.09627700371036162</v>
      </c>
      <c r="U81" s="482" t="n">
        <v>0.1167342173606417</v>
      </c>
      <c r="V81" s="482" t="n">
        <v>0.04891888371061272</v>
      </c>
      <c r="W81" s="482" t="n">
        <v>0.36708062720816</v>
      </c>
      <c r="X81" s="482" t="n">
        <v>0.1015362461355712</v>
      </c>
      <c r="Y81" s="482" t="n">
        <v>0.1466510312478444</v>
      </c>
      <c r="Z81" s="482" t="n">
        <v>0.1466510312478444</v>
      </c>
      <c r="AA81" s="484" t="n">
        <v>0.1351732930298853</v>
      </c>
    </row>
    <row r="82" ht="14" customHeight="1">
      <c r="A82" s="147" t="inlineStr">
        <is>
          <t>Shoe</t>
        </is>
      </c>
      <c r="B82" s="268" t="n">
        <v>11</v>
      </c>
      <c r="C82" s="482" t="n">
        <v>0.1242728571428571</v>
      </c>
      <c r="D82" s="482" t="n">
        <v>0.09034931883156833</v>
      </c>
      <c r="E82" s="482" t="n">
        <v>0.2092969665965342</v>
      </c>
      <c r="F82" s="482" t="n">
        <v>0.189530678311892</v>
      </c>
      <c r="G82" s="483" t="n">
        <v>1.000186823524826</v>
      </c>
      <c r="H82" s="483" t="n">
        <v>1.017318327861263</v>
      </c>
      <c r="I82" s="482" t="n">
        <v>0.08487239742261231</v>
      </c>
      <c r="J82" s="482" t="n">
        <v>0.5008276206019689</v>
      </c>
      <c r="K82" s="482" t="n">
        <v>0.052913</v>
      </c>
      <c r="L82" s="482" t="n">
        <v>0.1067020183928412</v>
      </c>
      <c r="M82" s="482" t="n">
        <v>0.08005078423619549</v>
      </c>
      <c r="N82" s="483" t="n">
        <v>2.622100111204864</v>
      </c>
      <c r="O82" s="483" t="n">
        <v>2.040976521871971</v>
      </c>
      <c r="P82" s="483" t="n">
        <v>16.86473952387312</v>
      </c>
      <c r="Q82" s="483" t="n">
        <v>22.31882168500499</v>
      </c>
      <c r="R82" s="483" t="n">
        <v>6.060299460491326</v>
      </c>
      <c r="S82" s="483" t="n">
        <v>24.47482766284358</v>
      </c>
      <c r="T82" s="482" t="n">
        <v>0.1655533897217753</v>
      </c>
      <c r="U82" s="482" t="n">
        <v>0.01326049552083642</v>
      </c>
      <c r="V82" s="482" t="n">
        <v>0.003992591203534647</v>
      </c>
      <c r="W82" s="482" t="n">
        <v>0.1910578706044996</v>
      </c>
      <c r="X82" s="482" t="n">
        <v>0.1948971193415638</v>
      </c>
      <c r="Y82" s="482" t="n">
        <v>0.6493070127580998</v>
      </c>
      <c r="Z82" s="482" t="n">
        <v>0.6493070127580998</v>
      </c>
      <c r="AA82" s="484" t="n">
        <v>0.09149196348386501</v>
      </c>
    </row>
    <row r="83" ht="14" customHeight="1">
      <c r="A83" s="147" t="inlineStr">
        <is>
          <t>Software (Entertainment)</t>
        </is>
      </c>
      <c r="B83" s="268" t="n">
        <v>77</v>
      </c>
      <c r="C83" s="482" t="n">
        <v>0.1671506451612904</v>
      </c>
      <c r="D83" s="482" t="n">
        <v>0.3384971230031091</v>
      </c>
      <c r="E83" s="482" t="n">
        <v>0.2701916640773067</v>
      </c>
      <c r="F83" s="482" t="n">
        <v>0.2249556616684641</v>
      </c>
      <c r="G83" s="483" t="n">
        <v>1.020691742721276</v>
      </c>
      <c r="H83" s="483" t="n">
        <v>1.028311248084757</v>
      </c>
      <c r="I83" s="482" t="n">
        <v>0.08536268166458016</v>
      </c>
      <c r="J83" s="482" t="n">
        <v>0.5706184370658361</v>
      </c>
      <c r="K83" s="482" t="n">
        <v>0.052913</v>
      </c>
      <c r="L83" s="482" t="n">
        <v>0.02003643127727034</v>
      </c>
      <c r="M83" s="482" t="n">
        <v>0.08444745892589496</v>
      </c>
      <c r="N83" s="483" t="n">
        <v>1.344742246409012</v>
      </c>
      <c r="O83" s="483" t="n">
        <v>9.127644681877531</v>
      </c>
      <c r="P83" s="483" t="n">
        <v>22.01423459051252</v>
      </c>
      <c r="Q83" s="483" t="n">
        <v>26.97606060908115</v>
      </c>
      <c r="R83" s="483" t="n">
        <v>9.098095158592308</v>
      </c>
      <c r="S83" s="483" t="n">
        <v>39.34028773134155</v>
      </c>
      <c r="T83" s="482" t="n">
        <v>0.07247951798907225</v>
      </c>
      <c r="U83" s="482" t="n">
        <v>0.2294239058700271</v>
      </c>
      <c r="V83" s="482" t="n">
        <v>0.1952111132285167</v>
      </c>
      <c r="W83" s="482" t="n">
        <v>0.8236394230364615</v>
      </c>
      <c r="X83" s="482" t="n">
        <v>0.3650885060505082</v>
      </c>
      <c r="Y83" s="482" t="n">
        <v>0.08336933665167408</v>
      </c>
      <c r="Z83" s="482" t="n">
        <v>0.08336933665167412</v>
      </c>
      <c r="AA83" s="484" t="n">
        <v>0.3600053019156746</v>
      </c>
    </row>
    <row r="84" ht="14" customHeight="1">
      <c r="A84" s="147" t="inlineStr">
        <is>
          <t>Software (Internet)</t>
        </is>
      </c>
      <c r="B84" s="268" t="n">
        <v>29</v>
      </c>
      <c r="C84" s="482" t="n">
        <v>0.291795</v>
      </c>
      <c r="D84" s="482" t="n">
        <v>0.03686141997593261</v>
      </c>
      <c r="E84" s="482" t="n">
        <v>0.03434780196741558</v>
      </c>
      <c r="F84" s="482" t="n">
        <v>0.1714671615369269</v>
      </c>
      <c r="G84" s="483" t="n">
        <v>1.590525087708313</v>
      </c>
      <c r="H84" s="483" t="n">
        <v>1.68867611616606</v>
      </c>
      <c r="I84" s="482" t="n">
        <v>0.1148149547810063</v>
      </c>
      <c r="J84" s="482" t="n">
        <v>0.526123151821511</v>
      </c>
      <c r="K84" s="482" t="n">
        <v>0.052913</v>
      </c>
      <c r="L84" s="482" t="n">
        <v>0.1095194173837779</v>
      </c>
      <c r="M84" s="482" t="n">
        <v>0.1065867385254665</v>
      </c>
      <c r="N84" s="483" t="n">
        <v>1.350096770203276</v>
      </c>
      <c r="O84" s="483" t="n">
        <v>9.561036618683037</v>
      </c>
      <c r="P84" s="483" t="n">
        <v>30.26060384626827</v>
      </c>
      <c r="Q84" s="483" t="n">
        <v>172.9895420599664</v>
      </c>
      <c r="R84" s="483" t="n">
        <v>10.85573713554495</v>
      </c>
      <c r="S84" s="483" t="n">
        <v>67.21143650446582</v>
      </c>
      <c r="T84" s="482" t="n">
        <v>0.1479788206979543</v>
      </c>
      <c r="U84" s="482" t="n">
        <v>0.3366827711878975</v>
      </c>
      <c r="V84" s="482" t="n">
        <v>0.2601112711019424</v>
      </c>
      <c r="W84" s="482" t="n">
        <v>14.14213936786985</v>
      </c>
      <c r="X84" s="482" t="n">
        <v>-0.01469962217495586</v>
      </c>
      <c r="Y84" s="482" t="n">
        <v>0.0002200339087546239</v>
      </c>
      <c r="Z84" s="482" t="n">
        <v>0.00022003390875458</v>
      </c>
      <c r="AA84" s="484" t="n">
        <v>0.04704900770571774</v>
      </c>
    </row>
    <row r="85" ht="14" customHeight="1">
      <c r="A85" s="147" t="inlineStr">
        <is>
          <t>Software (System &amp; Application)</t>
        </is>
      </c>
      <c r="B85" s="268" t="n">
        <v>309</v>
      </c>
      <c r="C85" s="482" t="n">
        <v>0.1956449999999999</v>
      </c>
      <c r="D85" s="482" t="n">
        <v>0.3298251373604765</v>
      </c>
      <c r="E85" s="482" t="n">
        <v>0.2931842949283384</v>
      </c>
      <c r="F85" s="482" t="n">
        <v>0.1801118280986946</v>
      </c>
      <c r="G85" s="483" t="n">
        <v>1.248199417466542</v>
      </c>
      <c r="H85" s="483" t="n">
        <v>1.276648178078175</v>
      </c>
      <c r="I85" s="482" t="n">
        <v>0.09643850874228661</v>
      </c>
      <c r="J85" s="482" t="n">
        <v>0.5678932632947824</v>
      </c>
      <c r="K85" s="482" t="n">
        <v>0.052913</v>
      </c>
      <c r="L85" s="482" t="n">
        <v>0.05282518875796975</v>
      </c>
      <c r="M85" s="482" t="n">
        <v>0.09344048072400105</v>
      </c>
      <c r="N85" s="483" t="n">
        <v>1.538171580168537</v>
      </c>
      <c r="O85" s="483" t="n">
        <v>11.40876367309658</v>
      </c>
      <c r="P85" s="483" t="n">
        <v>24.48353576982544</v>
      </c>
      <c r="Q85" s="483" t="n">
        <v>32.41233949136116</v>
      </c>
      <c r="R85" s="483" t="n">
        <v>9.137089676994028</v>
      </c>
      <c r="S85" s="483" t="n">
        <v>79.1742086869903</v>
      </c>
      <c r="T85" s="482" t="n">
        <v>0.1004621606690162</v>
      </c>
      <c r="U85" s="482" t="n">
        <v>0.1778828534720713</v>
      </c>
      <c r="V85" s="482" t="n">
        <v>0.1782069104792839</v>
      </c>
      <c r="W85" s="482" t="n">
        <v>0.7377874473291637</v>
      </c>
      <c r="X85" s="482" t="n">
        <v>0.2962489469128928</v>
      </c>
      <c r="Y85" s="482" t="n">
        <v>0.2098427241306356</v>
      </c>
      <c r="Z85" s="482" t="n">
        <v>0.2098427241306356</v>
      </c>
      <c r="AA85" s="484" t="n">
        <v>0.3444930578460967</v>
      </c>
    </row>
    <row r="86" ht="14" customHeight="1">
      <c r="A86" s="147" t="inlineStr">
        <is>
          <t>Steel</t>
        </is>
      </c>
      <c r="B86" s="268" t="n">
        <v>19</v>
      </c>
      <c r="C86" s="482" t="n">
        <v>0.113735294117647</v>
      </c>
      <c r="D86" s="482" t="n">
        <v>0.04095917963841709</v>
      </c>
      <c r="E86" s="482" t="n">
        <v>0.06720259161412713</v>
      </c>
      <c r="F86" s="482" t="n">
        <v>0.2055038199855564</v>
      </c>
      <c r="G86" s="483" t="n">
        <v>0.9449429751018495</v>
      </c>
      <c r="H86" s="483" t="n">
        <v>1.062846247426205</v>
      </c>
      <c r="I86" s="482" t="n">
        <v>0.08690294263520874</v>
      </c>
      <c r="J86" s="482" t="n">
        <v>0.3850985479390227</v>
      </c>
      <c r="K86" s="482" t="n">
        <v>0.050672</v>
      </c>
      <c r="L86" s="482" t="n">
        <v>0.1903681360933958</v>
      </c>
      <c r="M86" s="482" t="n">
        <v>0.07759414206880617</v>
      </c>
      <c r="N86" s="483" t="n">
        <v>1.803682775623288</v>
      </c>
      <c r="O86" s="483" t="n">
        <v>1.169237506224056</v>
      </c>
      <c r="P86" s="483" t="n">
        <v>11.5909777899304</v>
      </c>
      <c r="Q86" s="483" t="n">
        <v>24.55963765291909</v>
      </c>
      <c r="R86" s="483" t="n">
        <v>1.875816282053751</v>
      </c>
      <c r="S86" s="483" t="n">
        <v>47.57535973483309</v>
      </c>
      <c r="T86" s="482" t="n">
        <v>0.2160521346105519</v>
      </c>
      <c r="U86" s="482" t="n">
        <v>0.06523182846245952</v>
      </c>
      <c r="V86" s="482" t="n">
        <v>0.05693403439916032</v>
      </c>
      <c r="W86" s="482" t="n">
        <v>2.114887130483973</v>
      </c>
      <c r="X86" s="482" t="n">
        <v>0.03679172566231069</v>
      </c>
      <c r="Y86" s="482" t="n">
        <v>0.6506039648192232</v>
      </c>
      <c r="Z86" s="482" t="n">
        <v>0.6506039648192232</v>
      </c>
      <c r="AA86" s="484" t="n">
        <v>0.04106902683477847</v>
      </c>
    </row>
    <row r="87" ht="14" customHeight="1">
      <c r="A87" s="147" t="inlineStr">
        <is>
          <t>Telecom (Wireless)</t>
        </is>
      </c>
      <c r="B87" s="268" t="n">
        <v>12</v>
      </c>
      <c r="C87" s="482" t="n">
        <v>0.03700142857142857</v>
      </c>
      <c r="D87" s="482" t="n">
        <v>0.2098002834514103</v>
      </c>
      <c r="E87" s="482" t="n">
        <v>0.1037201961446925</v>
      </c>
      <c r="F87" s="482" t="n">
        <v>0.2292724474869074</v>
      </c>
      <c r="G87" s="483" t="n">
        <v>0.3924208398534512</v>
      </c>
      <c r="H87" s="483" t="n">
        <v>0.5381352736640138</v>
      </c>
      <c r="I87" s="482" t="n">
        <v>0.06350083320541502</v>
      </c>
      <c r="J87" s="482" t="n">
        <v>0.4018099968867836</v>
      </c>
      <c r="K87" s="482" t="n">
        <v>0.050672</v>
      </c>
      <c r="L87" s="482" t="n">
        <v>0.3418744765076534</v>
      </c>
      <c r="M87" s="482" t="n">
        <v>0.05478411670071081</v>
      </c>
      <c r="N87" s="483" t="n">
        <v>0.547755760741675</v>
      </c>
      <c r="O87" s="483" t="n">
        <v>3.717039475911651</v>
      </c>
      <c r="P87" s="483" t="n">
        <v>8.974175092717237</v>
      </c>
      <c r="Q87" s="483" t="n">
        <v>18.83018672737929</v>
      </c>
      <c r="R87" s="483" t="n">
        <v>3.47189936412773</v>
      </c>
      <c r="S87" s="483" t="n">
        <v>107.1357594326258</v>
      </c>
      <c r="T87" s="482" t="n">
        <v>0.1207190497175611</v>
      </c>
      <c r="U87" s="482" t="n">
        <v>0.1164084819149942</v>
      </c>
      <c r="V87" s="482" t="n">
        <v>0.003818546423257787</v>
      </c>
      <c r="W87" s="482" t="n">
        <v>0.1642032061454339</v>
      </c>
      <c r="X87" s="482" t="n">
        <v>0.1606139649618447</v>
      </c>
      <c r="Y87" s="482" t="n">
        <v>0.5144702760836396</v>
      </c>
      <c r="Z87" s="482" t="n">
        <v>0.5144702760836396</v>
      </c>
      <c r="AA87" s="484" t="n">
        <v>0.1974999133842151</v>
      </c>
    </row>
    <row r="88" ht="14" customHeight="1">
      <c r="A88" s="147" t="inlineStr">
        <is>
          <t>Telecom. Equipment</t>
        </is>
      </c>
      <c r="B88" s="268" t="n">
        <v>57</v>
      </c>
      <c r="C88" s="482" t="n">
        <v>0.03271975609756098</v>
      </c>
      <c r="D88" s="482" t="n">
        <v>0.2069676450216517</v>
      </c>
      <c r="E88" s="482" t="n">
        <v>0.2547374909112715</v>
      </c>
      <c r="F88" s="482" t="n">
        <v>0.1654122121456244</v>
      </c>
      <c r="G88" s="483" t="n">
        <v>0.8872512120358865</v>
      </c>
      <c r="H88" s="483" t="n">
        <v>0.9232195753877382</v>
      </c>
      <c r="I88" s="482" t="n">
        <v>0.08067559306229313</v>
      </c>
      <c r="J88" s="482" t="n">
        <v>0.5526305461735282</v>
      </c>
      <c r="K88" s="482" t="n">
        <v>0.052913</v>
      </c>
      <c r="L88" s="482" t="n">
        <v>0.0844398133306591</v>
      </c>
      <c r="M88" s="482" t="n">
        <v>0.07721433392584677</v>
      </c>
      <c r="N88" s="483" t="n">
        <v>2.567713718021117</v>
      </c>
      <c r="O88" s="483" t="n">
        <v>6.516094095866539</v>
      </c>
      <c r="P88" s="483" t="n">
        <v>24.07393620437578</v>
      </c>
      <c r="Q88" s="483" t="n">
        <v>30.86329287384121</v>
      </c>
      <c r="R88" s="483" t="n">
        <v>8.371116364967031</v>
      </c>
      <c r="S88" s="483" t="n">
        <v>84.71608418708595</v>
      </c>
      <c r="T88" s="482" t="n">
        <v>0.2225183939866851</v>
      </c>
      <c r="U88" s="482" t="n">
        <v>0.0281076844659746</v>
      </c>
      <c r="V88" s="482" t="n">
        <v>0.07072557296624397</v>
      </c>
      <c r="W88" s="482" t="n">
        <v>0.4660719333859651</v>
      </c>
      <c r="X88" s="482" t="n">
        <v>0.2495656053027011</v>
      </c>
      <c r="Y88" s="482" t="n">
        <v>0.4144942269536068</v>
      </c>
      <c r="Z88" s="482" t="n">
        <v>0.4144942269536068</v>
      </c>
      <c r="AA88" s="484" t="n">
        <v>0.220114777801369</v>
      </c>
    </row>
    <row r="89" ht="14" customHeight="1">
      <c r="A89" s="147" t="inlineStr">
        <is>
          <t>Telecom. Services</t>
        </is>
      </c>
      <c r="B89" s="268" t="n">
        <v>39</v>
      </c>
      <c r="C89" s="482" t="n">
        <v>0.135675</v>
      </c>
      <c r="D89" s="482" t="n">
        <v>0.2047121991102734</v>
      </c>
      <c r="E89" s="482" t="n">
        <v>0.1203656674304767</v>
      </c>
      <c r="F89" s="482" t="n">
        <v>0.1848517475418197</v>
      </c>
      <c r="G89" s="483" t="n">
        <v>0.3815003583638724</v>
      </c>
      <c r="H89" s="483" t="n">
        <v>0.6287201518745624</v>
      </c>
      <c r="I89" s="482" t="n">
        <v>0.06754091877360549</v>
      </c>
      <c r="J89" s="482" t="n">
        <v>0.6028775992480886</v>
      </c>
      <c r="K89" s="482" t="n">
        <v>0.052913</v>
      </c>
      <c r="L89" s="482" t="n">
        <v>0.4899603993254088</v>
      </c>
      <c r="M89" s="482" t="n">
        <v>0.05389249919761376</v>
      </c>
      <c r="N89" s="483" t="n">
        <v>0.6028725777224047</v>
      </c>
      <c r="O89" s="483" t="n">
        <v>2.614800563000675</v>
      </c>
      <c r="P89" s="483" t="n">
        <v>6.535199474016229</v>
      </c>
      <c r="Q89" s="483" t="n">
        <v>12.21662037892945</v>
      </c>
      <c r="R89" s="483" t="n">
        <v>1.636312343271219</v>
      </c>
      <c r="S89" s="483" t="n">
        <v>16.78771582738809</v>
      </c>
      <c r="T89" s="482" t="n">
        <v>-0.03687981395123043</v>
      </c>
      <c r="U89" s="482" t="n">
        <v>0.1659486202751017</v>
      </c>
      <c r="V89" s="482" t="n">
        <v>0.009079285207758405</v>
      </c>
      <c r="W89" s="482" t="n">
        <v>0.1195448837923946</v>
      </c>
      <c r="X89" s="482" t="n">
        <v>0.1981752609619614</v>
      </c>
      <c r="Y89" s="482" t="n">
        <v>0.4768170904952796</v>
      </c>
      <c r="Z89" s="482" t="n">
        <v>0.4768170904952796</v>
      </c>
      <c r="AA89" s="484" t="n">
        <v>0.2083636986390195</v>
      </c>
    </row>
    <row r="90" ht="14" customHeight="1">
      <c r="A90" s="147" t="inlineStr">
        <is>
          <t>Tobacco</t>
        </is>
      </c>
      <c r="B90" s="268" t="n">
        <v>10</v>
      </c>
      <c r="C90" s="482" t="n">
        <v>0.02911</v>
      </c>
      <c r="D90" s="482" t="n">
        <v>0.4353823574802625</v>
      </c>
      <c r="E90" s="482" t="n">
        <v>0.6307780350577148</v>
      </c>
      <c r="F90" s="482" t="n">
        <v>0.2090382482803566</v>
      </c>
      <c r="G90" s="483" t="n">
        <v>0.6902977739311797</v>
      </c>
      <c r="H90" s="483" t="n">
        <v>0.794314579701523</v>
      </c>
      <c r="I90" s="482" t="n">
        <v>0.07492643025468793</v>
      </c>
      <c r="J90" s="482" t="n">
        <v>0.659579872239021</v>
      </c>
      <c r="K90" s="482" t="n">
        <v>0.060195</v>
      </c>
      <c r="L90" s="482" t="n">
        <v>0.1867836255543749</v>
      </c>
      <c r="M90" s="482" t="n">
        <v>0.06936398021705451</v>
      </c>
      <c r="N90" s="483" t="n">
        <v>1.824169681032902</v>
      </c>
      <c r="O90" s="483" t="n">
        <v>6.395192946988778</v>
      </c>
      <c r="P90" s="483" t="n">
        <v>13.4609035421483</v>
      </c>
      <c r="Q90" s="483" t="n">
        <v>14.63178059025161</v>
      </c>
      <c r="R90" s="483" t="inlineStr">
        <is>
          <t>NA</t>
        </is>
      </c>
      <c r="S90" s="483" t="n">
        <v>23.20849327075583</v>
      </c>
      <c r="T90" s="482" t="n">
        <v>0.1691180707068567</v>
      </c>
      <c r="U90" s="482" t="n">
        <v>0.02502676547752698</v>
      </c>
      <c r="V90" s="482" t="n">
        <v>-0.009100870596708189</v>
      </c>
      <c r="W90" s="482" t="n">
        <v>0.02380472041274977</v>
      </c>
      <c r="X90" s="482" t="inlineStr">
        <is>
          <t>NA</t>
        </is>
      </c>
      <c r="Y90" s="482" t="n">
        <v>0.8760466767746319</v>
      </c>
      <c r="Z90" s="482" t="n">
        <v>0.8760466767746319</v>
      </c>
      <c r="AA90" s="484" t="n">
        <v>0.4378658265277791</v>
      </c>
    </row>
    <row r="91" ht="14" customHeight="1">
      <c r="A91" s="147" t="inlineStr">
        <is>
          <t>Transportation</t>
        </is>
      </c>
      <c r="B91" s="268" t="n">
        <v>19</v>
      </c>
      <c r="C91" s="482" t="n">
        <v>0.09120833333333332</v>
      </c>
      <c r="D91" s="482" t="n">
        <v>0.07567222148665109</v>
      </c>
      <c r="E91" s="482" t="n">
        <v>0.1300079849084052</v>
      </c>
      <c r="F91" s="482" t="n">
        <v>0.1591187458982918</v>
      </c>
      <c r="G91" s="483" t="n">
        <v>0.7115266417564335</v>
      </c>
      <c r="H91" s="483" t="n">
        <v>0.8599219267913129</v>
      </c>
      <c r="I91" s="482" t="n">
        <v>0.07785251793489256</v>
      </c>
      <c r="J91" s="482" t="n">
        <v>0.381329406156173</v>
      </c>
      <c r="K91" s="482" t="n">
        <v>0.050672</v>
      </c>
      <c r="L91" s="482" t="n">
        <v>0.2671284506038499</v>
      </c>
      <c r="M91" s="482" t="n">
        <v>0.06720784508008498</v>
      </c>
      <c r="N91" s="483" t="n">
        <v>1.975348112283715</v>
      </c>
      <c r="O91" s="483" t="n">
        <v>1.639695228238321</v>
      </c>
      <c r="P91" s="483" t="n">
        <v>12.54996307458267</v>
      </c>
      <c r="Q91" s="483" t="n">
        <v>21.45013376445814</v>
      </c>
      <c r="R91" s="483" t="n">
        <v>4.787260376058109</v>
      </c>
      <c r="S91" s="483" t="n">
        <v>28.86782830570481</v>
      </c>
      <c r="T91" s="482" t="n">
        <v>0.06961477987266072</v>
      </c>
      <c r="U91" s="482" t="n">
        <v>0.04926841752620164</v>
      </c>
      <c r="V91" s="482" t="n">
        <v>0.02204541910190438</v>
      </c>
      <c r="W91" s="482" t="n">
        <v>0.5150479409503609</v>
      </c>
      <c r="X91" s="482" t="n">
        <v>0.3658208748571981</v>
      </c>
      <c r="Y91" s="482" t="n">
        <v>0.2912283098456141</v>
      </c>
      <c r="Z91" s="482" t="n">
        <v>0.2912283098456141</v>
      </c>
      <c r="AA91" s="484" t="n">
        <v>0.07705762663370866</v>
      </c>
    </row>
    <row r="92" ht="14" customHeight="1">
      <c r="A92" s="147" t="inlineStr">
        <is>
          <t>Transportation (Railroads)</t>
        </is>
      </c>
      <c r="B92" s="268" t="n">
        <v>4</v>
      </c>
      <c r="C92" s="482" t="n">
        <v>0.0491</v>
      </c>
      <c r="D92" s="482" t="n">
        <v>0.3741088611342688</v>
      </c>
      <c r="E92" s="482" t="n">
        <v>0.1423695952231054</v>
      </c>
      <c r="F92" s="482" t="n">
        <v>0.2243574345423973</v>
      </c>
      <c r="G92" s="483" t="n">
        <v>0.8137222539977831</v>
      </c>
      <c r="H92" s="483" t="n">
        <v>0.9751457485154854</v>
      </c>
      <c r="I92" s="482" t="n">
        <v>0.08299150038379065</v>
      </c>
      <c r="J92" s="482" t="n">
        <v>0.2389848583668918</v>
      </c>
      <c r="K92" s="482" t="n">
        <v>0.047306</v>
      </c>
      <c r="L92" s="482" t="n">
        <v>0.2174757293484189</v>
      </c>
      <c r="M92" s="482" t="n">
        <v>0.07265879344752341</v>
      </c>
      <c r="N92" s="483" t="n">
        <v>0.4581341102513573</v>
      </c>
      <c r="O92" s="483" t="n">
        <v>6.665559703504334</v>
      </c>
      <c r="P92" s="483" t="n">
        <v>13.48817865261892</v>
      </c>
      <c r="Q92" s="483" t="n">
        <v>17.80639978287504</v>
      </c>
      <c r="R92" s="483" t="n">
        <v>5.834457605365392</v>
      </c>
      <c r="S92" s="483" t="n">
        <v>21.52936812241127</v>
      </c>
      <c r="T92" s="482" t="n">
        <v>0.01560028672271265</v>
      </c>
      <c r="U92" s="482" t="n">
        <v>0.1786192898938035</v>
      </c>
      <c r="V92" s="482" t="n">
        <v>0.06467622928467356</v>
      </c>
      <c r="W92" s="482" t="n">
        <v>0.2007778740725049</v>
      </c>
      <c r="X92" s="482" t="n">
        <v>0.2906747758227465</v>
      </c>
      <c r="Y92" s="482" t="n">
        <v>0.4269576177721758</v>
      </c>
      <c r="Z92" s="482" t="n">
        <v>0.4269576177721759</v>
      </c>
      <c r="AA92" s="484" t="n">
        <v>0.3743350584498729</v>
      </c>
    </row>
    <row r="93" ht="14" customHeight="1">
      <c r="A93" s="147" t="inlineStr">
        <is>
          <t>Trucking</t>
        </is>
      </c>
      <c r="B93" s="268" t="n">
        <v>26</v>
      </c>
      <c r="C93" s="482" t="n">
        <v>0.03334882352941176</v>
      </c>
      <c r="D93" s="482" t="n">
        <v>0.06891848716024367</v>
      </c>
      <c r="E93" s="482" t="n">
        <v>0.09299457480769691</v>
      </c>
      <c r="F93" s="482" t="n">
        <v>0.2456120559375066</v>
      </c>
      <c r="G93" s="483" t="n">
        <v>0.8688507380232171</v>
      </c>
      <c r="H93" s="483" t="n">
        <v>1.011348928552129</v>
      </c>
      <c r="I93" s="482" t="n">
        <v>0.08460616221342496</v>
      </c>
      <c r="J93" s="482" t="n">
        <v>0.3529091741098341</v>
      </c>
      <c r="K93" s="482" t="n">
        <v>0.050672</v>
      </c>
      <c r="L93" s="482" t="n">
        <v>0.2014798077300748</v>
      </c>
      <c r="M93" s="482" t="n">
        <v>0.07521676753085833</v>
      </c>
      <c r="N93" s="483" t="n">
        <v>1.465720741219483</v>
      </c>
      <c r="O93" s="483" t="n">
        <v>1.742911412147477</v>
      </c>
      <c r="P93" s="483" t="n">
        <v>10.41260081844975</v>
      </c>
      <c r="Q93" s="483" t="n">
        <v>23.81223099936394</v>
      </c>
      <c r="R93" s="483" t="n">
        <v>2.857861050952057</v>
      </c>
      <c r="S93" s="483" t="n">
        <v>37.42267866557278</v>
      </c>
      <c r="T93" s="482" t="n">
        <v>0.07993963029162131</v>
      </c>
      <c r="U93" s="482" t="n">
        <v>0.1291100524580807</v>
      </c>
      <c r="V93" s="482" t="n">
        <v>0.05034245360306305</v>
      </c>
      <c r="W93" s="482" t="n">
        <v>0.9871253630575415</v>
      </c>
      <c r="X93" s="482" t="n">
        <v>0.07602721205023472</v>
      </c>
      <c r="Y93" s="482" t="n">
        <v>0.2836976246444857</v>
      </c>
      <c r="Z93" s="482" t="n">
        <v>0.2836976246444858</v>
      </c>
      <c r="AA93" s="484" t="n">
        <v>0.07304748295281488</v>
      </c>
    </row>
    <row r="94" ht="14" customHeight="1">
      <c r="A94" s="147" t="inlineStr">
        <is>
          <t>Utility (General)</t>
        </is>
      </c>
      <c r="B94" s="268" t="n">
        <v>14</v>
      </c>
      <c r="C94" s="482" t="n">
        <v>0.05332142857142856</v>
      </c>
      <c r="D94" s="482" t="n">
        <v>0.2349211260172051</v>
      </c>
      <c r="E94" s="482" t="n">
        <v>0.05994651585116697</v>
      </c>
      <c r="F94" s="482" t="n">
        <v>0.1446596448467966</v>
      </c>
      <c r="G94" s="483" t="n">
        <v>0.1491105350525881</v>
      </c>
      <c r="H94" s="483" t="n">
        <v>0.2394349278899265</v>
      </c>
      <c r="I94" s="482" t="n">
        <v>0.05017879778389073</v>
      </c>
      <c r="J94" s="482" t="n">
        <v>0.1496203104444805</v>
      </c>
      <c r="K94" s="482" t="n">
        <v>0.047306</v>
      </c>
      <c r="L94" s="482" t="n">
        <v>0.4489881182181434</v>
      </c>
      <c r="M94" s="482" t="n">
        <v>0.0435789877327735</v>
      </c>
      <c r="N94" s="483" t="n">
        <v>0.2961332983090297</v>
      </c>
      <c r="O94" s="483" t="n">
        <v>5.251606084018362</v>
      </c>
      <c r="P94" s="483" t="n">
        <v>13.72701503876966</v>
      </c>
      <c r="Q94" s="483" t="n">
        <v>22.63088377861899</v>
      </c>
      <c r="R94" s="483" t="n">
        <v>1.810187136029114</v>
      </c>
      <c r="S94" s="483" t="n">
        <v>19.92009807169647</v>
      </c>
      <c r="T94" s="482" t="n">
        <v>0.200490227302997</v>
      </c>
      <c r="U94" s="482" t="n">
        <v>0.4722569896271344</v>
      </c>
      <c r="V94" s="482" t="n">
        <v>0.3357585494036782</v>
      </c>
      <c r="W94" s="482" t="n">
        <v>1.723010954678944</v>
      </c>
      <c r="X94" s="482" t="n">
        <v>0.1041551458639964</v>
      </c>
      <c r="Y94" s="482" t="n">
        <v>0.6540272470025379</v>
      </c>
      <c r="Z94" s="482" t="n">
        <v>0.6540272470025379</v>
      </c>
      <c r="AA94" s="484" t="n">
        <v>0.2320548386616668</v>
      </c>
    </row>
    <row r="95" ht="14" customHeight="1">
      <c r="A95" s="147" t="inlineStr">
        <is>
          <t>Utility (Water)</t>
        </is>
      </c>
      <c r="B95" s="268" t="n">
        <v>14</v>
      </c>
      <c r="C95" s="482" t="n">
        <v>0.1329741666666667</v>
      </c>
      <c r="D95" s="482" t="n">
        <v>0.3371569629910201</v>
      </c>
      <c r="E95" s="482" t="n">
        <v>0.07250660955174709</v>
      </c>
      <c r="F95" s="482" t="n">
        <v>0.1593952925924101</v>
      </c>
      <c r="G95" s="483" t="n">
        <v>0.2824728934513352</v>
      </c>
      <c r="H95" s="483" t="n">
        <v>0.4126827948416138</v>
      </c>
      <c r="I95" s="482" t="n">
        <v>0.05790565264993597</v>
      </c>
      <c r="J95" s="482" t="n">
        <v>0.2959850912260439</v>
      </c>
      <c r="K95" s="482" t="n">
        <v>0.047306</v>
      </c>
      <c r="L95" s="482" t="n">
        <v>0.3840826448037364</v>
      </c>
      <c r="M95" s="482" t="n">
        <v>0.04929215662737624</v>
      </c>
      <c r="N95" s="483" t="n">
        <v>0.2428214395012541</v>
      </c>
      <c r="O95" s="483" t="n">
        <v>7.156354779193479</v>
      </c>
      <c r="P95" s="483" t="n">
        <v>14.1380037482983</v>
      </c>
      <c r="Q95" s="483" t="n">
        <v>21.08450292243973</v>
      </c>
      <c r="R95" s="483" t="n">
        <v>1.995218318011635</v>
      </c>
      <c r="S95" s="483" t="n">
        <v>23.06574330907612</v>
      </c>
      <c r="T95" s="482" t="n">
        <v>0.1254269312658624</v>
      </c>
      <c r="U95" s="482" t="n">
        <v>0.5583955373648559</v>
      </c>
      <c r="V95" s="482" t="n">
        <v>0.4372464923478553</v>
      </c>
      <c r="W95" s="482" t="n">
        <v>1.621776055167613</v>
      </c>
      <c r="X95" s="482" t="n">
        <v>0.1721237299186459</v>
      </c>
      <c r="Y95" s="482" t="n">
        <v>0.5643624413230548</v>
      </c>
      <c r="Z95" s="482" t="n">
        <v>0.3483342398441462</v>
      </c>
      <c r="AA95" s="484" t="n">
        <v>0.3363152786730426</v>
      </c>
    </row>
    <row r="96" ht="14" customHeight="1">
      <c r="A96" s="147" t="inlineStr">
        <is>
          <t>Total Market</t>
        </is>
      </c>
      <c r="B96" s="268" t="n">
        <v>5994</v>
      </c>
      <c r="C96" s="482" t="n">
        <v>0.1276619611360236</v>
      </c>
      <c r="D96" s="482" t="n">
        <v>0.1281752284968014</v>
      </c>
      <c r="E96" s="482" t="n">
        <v>0.08955910414193033</v>
      </c>
      <c r="F96" s="482" t="n">
        <v>0.1937980793299847</v>
      </c>
      <c r="G96" s="483" t="n">
        <v>0.7557168656692986</v>
      </c>
      <c r="H96" s="483" t="n">
        <v>0.9121109366553466</v>
      </c>
      <c r="I96" s="482" t="n">
        <v>0.08018014777482846</v>
      </c>
      <c r="J96" s="482" t="n">
        <v>0.4806656285191974</v>
      </c>
      <c r="K96" s="482" t="n">
        <v>0.052913</v>
      </c>
      <c r="L96" s="482" t="n">
        <v>0.2601977029597565</v>
      </c>
      <c r="M96" s="482" t="n">
        <v>0.06964333829337646</v>
      </c>
      <c r="N96" s="483" t="n">
        <v>0.8217850332049548</v>
      </c>
      <c r="O96" s="483" t="n">
        <v>3.966336026067594</v>
      </c>
      <c r="P96" s="483" t="n">
        <v>19.73192765753076</v>
      </c>
      <c r="Q96" s="483" t="n">
        <v>29.12435352911371</v>
      </c>
      <c r="R96" s="483" t="n">
        <v>4.605157981124835</v>
      </c>
      <c r="S96" s="483" t="n">
        <v>57.86385472116818</v>
      </c>
      <c r="T96" s="482" t="n">
        <v>-0.218557714977511</v>
      </c>
      <c r="U96" s="482" t="n">
        <v>0.06574601952281343</v>
      </c>
      <c r="V96" s="482" t="n">
        <v>0.04231213491497981</v>
      </c>
      <c r="W96" s="482" t="n">
        <v>0.5082267476343577</v>
      </c>
      <c r="X96" s="482" t="n">
        <v>0.1721237299186459</v>
      </c>
      <c r="Y96" s="482" t="n">
        <v>0.3483342398441463</v>
      </c>
      <c r="Z96" s="482" t="n">
        <v>0.3483342398441462</v>
      </c>
      <c r="AA96" s="484" t="n">
        <v>0.1293493515564674</v>
      </c>
    </row>
    <row r="97" ht="14" customHeight="1">
      <c r="A97" s="147" t="inlineStr">
        <is>
          <t>Total Market (without financials)</t>
        </is>
      </c>
      <c r="B97" s="268" t="n">
        <v>4822</v>
      </c>
      <c r="C97" s="482" t="n">
        <v>0.1374555939982446</v>
      </c>
      <c r="D97" s="482" t="n">
        <v>0.1313558888445586</v>
      </c>
      <c r="E97" s="482" t="n">
        <v>0.150709519195417</v>
      </c>
      <c r="F97" s="482" t="n">
        <v>0.1941595389275362</v>
      </c>
      <c r="G97" s="483" t="n">
        <v>0.9009675279492425</v>
      </c>
      <c r="H97" s="483" t="n">
        <v>0.9912959719564087</v>
      </c>
      <c r="I97" s="482" t="n">
        <v>0.08371180034925582</v>
      </c>
      <c r="J97" s="482" t="n">
        <v>0.5276481947225026</v>
      </c>
      <c r="K97" s="482" t="n">
        <v>0.052913</v>
      </c>
      <c r="L97" s="482" t="n">
        <v>0.1473976156754532</v>
      </c>
      <c r="M97" s="482" t="n">
        <v>0.07722231810255238</v>
      </c>
      <c r="N97" s="483" t="n">
        <v>1.433775561214941</v>
      </c>
      <c r="O97" s="483" t="n">
        <v>3.460309277512211</v>
      </c>
      <c r="P97" s="483" t="n">
        <v>16.95495213807789</v>
      </c>
      <c r="Q97" s="483" t="n">
        <v>25.69673869799494</v>
      </c>
      <c r="R97" s="483" t="n">
        <v>5.439045771367902</v>
      </c>
      <c r="S97" s="483" t="n">
        <v>61.55859909121619</v>
      </c>
      <c r="T97" s="482" t="n">
        <v>0.0930119522313709</v>
      </c>
      <c r="U97" s="482" t="n">
        <v>0.07176980158080977</v>
      </c>
      <c r="V97" s="482" t="n">
        <v>0.04291451109387252</v>
      </c>
      <c r="W97" s="482" t="n">
        <v>0.4880880996617148</v>
      </c>
      <c r="X97" s="482" t="n">
        <v>0.176020012107524</v>
      </c>
      <c r="Y97" s="482" t="n">
        <v>0.3665287542467456</v>
      </c>
      <c r="Z97" s="482" t="n">
        <v>0.3665287542467456</v>
      </c>
      <c r="AA97" s="484" t="n">
        <v>0.1326207555589437</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7"/>
  <sheetViews>
    <sheetView topLeftCell="A46" workbookViewId="0">
      <selection activeCell="A1" sqref="A1:AA1048576"/>
    </sheetView>
  </sheetViews>
  <sheetFormatPr baseColWidth="10" defaultRowHeight="13"/>
  <cols>
    <col width="23.1640625" customWidth="1" min="1" max="1"/>
    <col width="10.6640625" customWidth="1" style="657" min="2" max="23"/>
    <col width="10.83203125" customWidth="1" style="657" min="24" max="27"/>
  </cols>
  <sheetData>
    <row r="1" ht="84" customFormat="1" customHeight="1" s="169">
      <c r="A1" s="467" t="inlineStr">
        <is>
          <t>Industry Name</t>
        </is>
      </c>
      <c r="B1" s="468" t="inlineStr">
        <is>
          <t>Number of firms</t>
        </is>
      </c>
      <c r="C1" s="469" t="inlineStr">
        <is>
          <t>Annual Average Revenue growth - Last 5 years</t>
        </is>
      </c>
      <c r="D1" s="469" t="inlineStr">
        <is>
          <t>Pre-tax Operating Margin (Unadjusted)</t>
        </is>
      </c>
      <c r="E1" s="469" t="inlineStr">
        <is>
          <t>After-tax ROC</t>
        </is>
      </c>
      <c r="F1" s="468" t="inlineStr">
        <is>
          <t>Average effective tax rate</t>
        </is>
      </c>
      <c r="G1" s="468" t="inlineStr">
        <is>
          <t>Unlevered Beta</t>
        </is>
      </c>
      <c r="H1" s="468" t="inlineStr">
        <is>
          <t>Equity (Levered) Beta</t>
        </is>
      </c>
      <c r="I1" s="468" t="inlineStr">
        <is>
          <t>Cost of equity</t>
        </is>
      </c>
      <c r="J1" s="468" t="inlineStr">
        <is>
          <t>Std deviation in stock prices</t>
        </is>
      </c>
      <c r="K1" s="468" t="inlineStr">
        <is>
          <t>Pre-tax cost of debt</t>
        </is>
      </c>
      <c r="L1" s="468" t="inlineStr">
        <is>
          <t>Market Debt/Capital</t>
        </is>
      </c>
      <c r="M1" s="468" t="inlineStr">
        <is>
          <t>Cost of capital</t>
        </is>
      </c>
      <c r="N1" s="470" t="inlineStr">
        <is>
          <t>Sales/Capital</t>
        </is>
      </c>
      <c r="O1" s="468" t="inlineStr">
        <is>
          <t>EV/Sales</t>
        </is>
      </c>
      <c r="P1" s="468" t="inlineStr">
        <is>
          <t>EV/EBITDA</t>
        </is>
      </c>
      <c r="Q1" s="468" t="inlineStr">
        <is>
          <t>EV/EBIT</t>
        </is>
      </c>
      <c r="R1" s="468" t="inlineStr">
        <is>
          <t>Price/Book</t>
        </is>
      </c>
      <c r="S1" s="468" t="inlineStr">
        <is>
          <t>Trailing PE</t>
        </is>
      </c>
      <c r="T1" s="468" t="inlineStr">
        <is>
          <t>Non-cash WC as % of Revenues</t>
        </is>
      </c>
      <c r="U1" s="468" t="inlineStr">
        <is>
          <t>Cap Ex as % of Revenues</t>
        </is>
      </c>
      <c r="V1" s="468" t="inlineStr">
        <is>
          <t>Net Cap Ex as % of Revenues</t>
        </is>
      </c>
      <c r="W1" s="468" t="inlineStr">
        <is>
          <t>Reinvestment Rate</t>
        </is>
      </c>
      <c r="X1" s="468" t="inlineStr">
        <is>
          <t>ROE</t>
        </is>
      </c>
      <c r="Y1" s="468" t="inlineStr">
        <is>
          <t>Dividend Payout Ratio</t>
        </is>
      </c>
      <c r="Z1" s="468" t="inlineStr">
        <is>
          <t>Equity Reinvestment Rate</t>
        </is>
      </c>
      <c r="AA1" s="468" t="inlineStr">
        <is>
          <t>Pre-tax Operating Margin (Lease &amp; R&amp;D adjusted)</t>
        </is>
      </c>
    </row>
    <row r="2" customFormat="1" s="138">
      <c r="A2" s="147" t="inlineStr">
        <is>
          <t>Advertising</t>
        </is>
      </c>
      <c r="B2" s="268" t="n">
        <v>419</v>
      </c>
      <c r="C2" s="482" t="n">
        <v>0.07674594488188972</v>
      </c>
      <c r="D2" s="482" t="n">
        <v>0.08545219135145969</v>
      </c>
      <c r="E2" s="482" t="n">
        <v>0.1793365767118328</v>
      </c>
      <c r="F2" s="482" t="n">
        <v>0.2822286846399317</v>
      </c>
      <c r="G2" s="483" t="n">
        <v>1.086116136197718</v>
      </c>
      <c r="H2" s="483" t="n">
        <v>1.272831803339158</v>
      </c>
      <c r="I2" s="482" t="n">
        <v>0.1111604305279946</v>
      </c>
      <c r="J2" s="482" t="n">
        <v>0.4781971571430378</v>
      </c>
      <c r="K2" s="482" t="n">
        <v>0.060013</v>
      </c>
      <c r="L2" s="482" t="n">
        <v>0.288534317211795</v>
      </c>
      <c r="M2" s="482" t="n">
        <v>0.09200962059183242</v>
      </c>
      <c r="N2" s="483" t="n">
        <v>2.59090949067257</v>
      </c>
      <c r="O2" s="483" t="n">
        <v>1.522018704690608</v>
      </c>
      <c r="P2" s="483" t="n">
        <v>11.07983364143014</v>
      </c>
      <c r="Q2" s="483" t="n">
        <v>16.45856942463147</v>
      </c>
      <c r="R2" s="483" t="n">
        <v>2.478629080794582</v>
      </c>
      <c r="S2" s="483" t="n">
        <v>41.3764398297482</v>
      </c>
      <c r="T2" s="482" t="n">
        <v>-0.007390632597755556</v>
      </c>
      <c r="U2" s="482" t="n">
        <v>0.01732371975045077</v>
      </c>
      <c r="V2" s="482" t="n">
        <v>0.005775691916061007</v>
      </c>
      <c r="W2" s="482" t="n">
        <v>0.1094157659092899</v>
      </c>
      <c r="X2" s="482" t="n">
        <v>0.03119124058113678</v>
      </c>
      <c r="Y2" s="482" t="n">
        <v>1.949837102286307</v>
      </c>
      <c r="Z2" s="482" t="n">
        <v>1.949837102286307</v>
      </c>
      <c r="AA2" s="484" t="n">
        <v>0.08651034773304266</v>
      </c>
    </row>
    <row r="3" customFormat="1" s="138">
      <c r="A3" s="147" t="inlineStr">
        <is>
          <t>Aerospace/Defense</t>
        </is>
      </c>
      <c r="B3" s="268" t="n">
        <v>319</v>
      </c>
      <c r="C3" s="482" t="n">
        <v>0.1003011386138613</v>
      </c>
      <c r="D3" s="482" t="n">
        <v>0.09178508343052239</v>
      </c>
      <c r="E3" s="482" t="n">
        <v>0.1546266528982992</v>
      </c>
      <c r="F3" s="482" t="n">
        <v>0.1751405846269328</v>
      </c>
      <c r="G3" s="483" t="n">
        <v>1.166684299427081</v>
      </c>
      <c r="H3" s="483" t="n">
        <v>1.230944636330449</v>
      </c>
      <c r="I3" s="482" t="n">
        <v>0.1088021830254043</v>
      </c>
      <c r="J3" s="482" t="n">
        <v>0.4653536316295678</v>
      </c>
      <c r="K3" s="482" t="n">
        <v>0.060013</v>
      </c>
      <c r="L3" s="482" t="n">
        <v>0.1150476572634508</v>
      </c>
      <c r="M3" s="482" t="n">
        <v>0.1014374669409912</v>
      </c>
      <c r="N3" s="483" t="n">
        <v>2.464919908721302</v>
      </c>
      <c r="O3" s="483" t="n">
        <v>3.385246124413623</v>
      </c>
      <c r="P3" s="483" t="n">
        <v>22.39882312783213</v>
      </c>
      <c r="Q3" s="483" t="n">
        <v>33.08486316707189</v>
      </c>
      <c r="R3" s="483" t="n">
        <v>6.7223105530477</v>
      </c>
      <c r="S3" s="483" t="n">
        <v>189.8800924782406</v>
      </c>
      <c r="T3" s="482" t="n">
        <v>0.3930613319380565</v>
      </c>
      <c r="U3" s="482" t="n">
        <v>0.03804922771784651</v>
      </c>
      <c r="V3" s="482" t="n">
        <v>0.01515165972398432</v>
      </c>
      <c r="W3" s="482" t="n">
        <v>0.701525987902954</v>
      </c>
      <c r="X3" s="482" t="n">
        <v>0.184497379944047</v>
      </c>
      <c r="Y3" s="482" t="n">
        <v>0.3781931193720836</v>
      </c>
      <c r="Z3" s="482" t="n">
        <v>0.3781931193720836</v>
      </c>
      <c r="AA3" s="484" t="n">
        <v>0.09389575724340557</v>
      </c>
    </row>
    <row r="4" customFormat="1" s="138">
      <c r="A4" s="147" t="inlineStr">
        <is>
          <t>Air Transport</t>
        </is>
      </c>
      <c r="B4" s="268" t="n">
        <v>150</v>
      </c>
      <c r="C4" s="482" t="n">
        <v>0.2065428346456692</v>
      </c>
      <c r="D4" s="482" t="n">
        <v>0.08209446269459414</v>
      </c>
      <c r="E4" s="482" t="n">
        <v>0.09013467295800828</v>
      </c>
      <c r="F4" s="482" t="n">
        <v>0.2145641497321069</v>
      </c>
      <c r="G4" s="483" t="n">
        <v>0.6840621552018372</v>
      </c>
      <c r="H4" s="483" t="n">
        <v>0.990625140921233</v>
      </c>
      <c r="I4" s="482" t="n">
        <v>0.09527219543386542</v>
      </c>
      <c r="J4" s="482" t="n">
        <v>0.3363451647411857</v>
      </c>
      <c r="K4" s="482" t="n">
        <v>0.057772</v>
      </c>
      <c r="L4" s="482" t="n">
        <v>0.4409828120665577</v>
      </c>
      <c r="M4" s="482" t="n">
        <v>0.07227187614534744</v>
      </c>
      <c r="N4" s="483" t="n">
        <v>1.314039929397383</v>
      </c>
      <c r="O4" s="483" t="n">
        <v>1.39780767934131</v>
      </c>
      <c r="P4" s="483" t="n">
        <v>9.070637277664346</v>
      </c>
      <c r="Q4" s="483" t="n">
        <v>16.92162740052879</v>
      </c>
      <c r="R4" s="483" t="n">
        <v>2.482139376008782</v>
      </c>
      <c r="S4" s="483" t="n">
        <v>26.88178846969008</v>
      </c>
      <c r="T4" s="482" t="n">
        <v>-0.0352949395584087</v>
      </c>
      <c r="U4" s="482" t="n">
        <v>0.09934211456049283</v>
      </c>
      <c r="V4" s="482" t="n">
        <v>0.0333533351332803</v>
      </c>
      <c r="W4" s="482" t="n">
        <v>0.4769658494357197</v>
      </c>
      <c r="X4" s="482" t="n">
        <v>0.1728223849205911</v>
      </c>
      <c r="Y4" s="482" t="n">
        <v>0.387394121808358</v>
      </c>
      <c r="Z4" s="482" t="n">
        <v>0.387394121808358</v>
      </c>
      <c r="AA4" s="484" t="n">
        <v>0.08085745560647267</v>
      </c>
    </row>
    <row r="5" customFormat="1" s="138">
      <c r="A5" s="147" t="inlineStr">
        <is>
          <t>Apparel</t>
        </is>
      </c>
      <c r="B5" s="268" t="n">
        <v>1207</v>
      </c>
      <c r="C5" s="482" t="n">
        <v>0.09614445595854917</v>
      </c>
      <c r="D5" s="482" t="n">
        <v>0.1259492517915098</v>
      </c>
      <c r="E5" s="482" t="n">
        <v>0.1606658149624852</v>
      </c>
      <c r="F5" s="482" t="n">
        <v>0.2763686998977823</v>
      </c>
      <c r="G5" s="483" t="n">
        <v>0.7052666591336804</v>
      </c>
      <c r="H5" s="483" t="n">
        <v>0.7624174150098879</v>
      </c>
      <c r="I5" s="482" t="n">
        <v>0.08242410046505669</v>
      </c>
      <c r="J5" s="482" t="n">
        <v>0.4091273514267088</v>
      </c>
      <c r="K5" s="482" t="n">
        <v>0.057772</v>
      </c>
      <c r="L5" s="482" t="n">
        <v>0.1575730805753863</v>
      </c>
      <c r="M5" s="482" t="n">
        <v>0.07623008279493278</v>
      </c>
      <c r="N5" s="483" t="n">
        <v>1.520636578025724</v>
      </c>
      <c r="O5" s="483" t="n">
        <v>2.310920519812083</v>
      </c>
      <c r="P5" s="483" t="n">
        <v>14.04802801054984</v>
      </c>
      <c r="Q5" s="483" t="n">
        <v>17.70304330825734</v>
      </c>
      <c r="R5" s="483" t="n">
        <v>3.286923684168487</v>
      </c>
      <c r="S5" s="483" t="n">
        <v>59.3101092936845</v>
      </c>
      <c r="T5" s="482" t="n">
        <v>0.2233567265794157</v>
      </c>
      <c r="U5" s="482" t="n">
        <v>0.04350827738498098</v>
      </c>
      <c r="V5" s="482" t="n">
        <v>0.02075162325912593</v>
      </c>
      <c r="W5" s="482" t="n">
        <v>0.3984749537560307</v>
      </c>
      <c r="X5" s="482" t="n">
        <v>0.135444417693777</v>
      </c>
      <c r="Y5" s="482" t="n">
        <v>0.4950642841442704</v>
      </c>
      <c r="Z5" s="482" t="n">
        <v>0.4950642841442704</v>
      </c>
      <c r="AA5" s="484" t="n">
        <v>0.1271797277890002</v>
      </c>
    </row>
    <row r="6" customFormat="1" s="138">
      <c r="A6" s="147" t="inlineStr">
        <is>
          <t>Auto &amp; Truck</t>
        </is>
      </c>
      <c r="B6" s="268" t="n">
        <v>165</v>
      </c>
      <c r="C6" s="482" t="n">
        <v>0.1418665048543689</v>
      </c>
      <c r="D6" s="482" t="n">
        <v>0.04312659717257243</v>
      </c>
      <c r="E6" s="482" t="n">
        <v>0.04329071184798652</v>
      </c>
      <c r="F6" s="482" t="n">
        <v>0.2390673556586037</v>
      </c>
      <c r="G6" s="483" t="n">
        <v>1.145382385474323</v>
      </c>
      <c r="H6" s="483" t="n">
        <v>1.405957835982734</v>
      </c>
      <c r="I6" s="482" t="n">
        <v>0.1186554261658279</v>
      </c>
      <c r="J6" s="482" t="n">
        <v>0.4654404513744416</v>
      </c>
      <c r="K6" s="482" t="n">
        <v>0.060013</v>
      </c>
      <c r="L6" s="482" t="n">
        <v>0.323459037203528</v>
      </c>
      <c r="M6" s="482" t="n">
        <v>0.09476224319438756</v>
      </c>
      <c r="N6" s="483" t="n">
        <v>1.190480404319043</v>
      </c>
      <c r="O6" s="483" t="n">
        <v>1.503898859337182</v>
      </c>
      <c r="P6" s="483" t="n">
        <v>17.28772934908585</v>
      </c>
      <c r="Q6" s="483" t="n">
        <v>33.70303535892507</v>
      </c>
      <c r="R6" s="483" t="n">
        <v>2.110181568787867</v>
      </c>
      <c r="S6" s="483" t="n">
        <v>64.09523391345726</v>
      </c>
      <c r="T6" s="482" t="n">
        <v>-0.02520913600754166</v>
      </c>
      <c r="U6" s="482" t="n">
        <v>0.06287660024028328</v>
      </c>
      <c r="V6" s="482" t="n">
        <v>0.03524237424452151</v>
      </c>
      <c r="W6" s="482" t="n">
        <v>0.7777227200140658</v>
      </c>
      <c r="X6" s="482" t="n">
        <v>0.06229174013282179</v>
      </c>
      <c r="Y6" s="482" t="n">
        <v>0.5043075049258341</v>
      </c>
      <c r="Z6" s="482" t="n">
        <v>0.5043075049258341</v>
      </c>
      <c r="AA6" s="484" t="n">
        <v>0.04689886327259096</v>
      </c>
    </row>
    <row r="7" customFormat="1" s="138">
      <c r="A7" s="147" t="inlineStr">
        <is>
          <t>Auto Parts</t>
        </is>
      </c>
      <c r="B7" s="268" t="n">
        <v>797</v>
      </c>
      <c r="C7" s="482" t="n">
        <v>0.1160243396226415</v>
      </c>
      <c r="D7" s="482" t="n">
        <v>0.054480012734338</v>
      </c>
      <c r="E7" s="482" t="n">
        <v>0.129164411679616</v>
      </c>
      <c r="F7" s="482" t="n">
        <v>0.2446634577663042</v>
      </c>
      <c r="G7" s="483" t="n">
        <v>1.35347187966227</v>
      </c>
      <c r="H7" s="483" t="n">
        <v>1.449821287328946</v>
      </c>
      <c r="I7" s="482" t="n">
        <v>0.1211249384766196</v>
      </c>
      <c r="J7" s="482" t="n">
        <v>0.3854979087963625</v>
      </c>
      <c r="K7" s="482" t="n">
        <v>0.057772</v>
      </c>
      <c r="L7" s="482" t="n">
        <v>0.2175268904635065</v>
      </c>
      <c r="M7" s="482" t="n">
        <v>0.1041557321241016</v>
      </c>
      <c r="N7" s="483" t="n">
        <v>1.978693584514997</v>
      </c>
      <c r="O7" s="483" t="n">
        <v>0.9601357791579264</v>
      </c>
      <c r="P7" s="483" t="n">
        <v>9.234581285045799</v>
      </c>
      <c r="Q7" s="483" t="n">
        <v>16.7734046072978</v>
      </c>
      <c r="R7" s="483" t="n">
        <v>1.709664937251359</v>
      </c>
      <c r="S7" s="483" t="n">
        <v>84.42572934865285</v>
      </c>
      <c r="T7" s="482" t="n">
        <v>0.113707633526337</v>
      </c>
      <c r="U7" s="482" t="n">
        <v>0.04910659095170623</v>
      </c>
      <c r="V7" s="482" t="n">
        <v>0.03102023720172524</v>
      </c>
      <c r="W7" s="482" t="n">
        <v>0.8843655233716815</v>
      </c>
      <c r="X7" s="482" t="n">
        <v>0.06557540474582693</v>
      </c>
      <c r="Y7" s="482" t="n">
        <v>0.4855678893549565</v>
      </c>
      <c r="Z7" s="482" t="n">
        <v>0.4855678893549565</v>
      </c>
      <c r="AA7" s="484" t="n">
        <v>0.05854135025966486</v>
      </c>
    </row>
    <row r="8" customFormat="1" s="138">
      <c r="A8" s="147" t="inlineStr">
        <is>
          <t>Bank (Money Center)</t>
        </is>
      </c>
      <c r="B8" s="268" t="n">
        <v>604</v>
      </c>
      <c r="C8" s="482" t="n">
        <v>0.1920111229946524</v>
      </c>
      <c r="D8" s="482" t="n">
        <v>0.003764173341521477</v>
      </c>
      <c r="E8" s="482" t="inlineStr">
        <is>
          <t>NA</t>
        </is>
      </c>
      <c r="F8" s="482" t="n">
        <v>0.1961144608007977</v>
      </c>
      <c r="G8" s="483" t="n">
        <v>0.3627650509714354</v>
      </c>
      <c r="H8" s="483" t="n">
        <v>0.6974939226520271</v>
      </c>
      <c r="I8" s="482" t="n">
        <v>0.07876890784530913</v>
      </c>
      <c r="J8" s="482" t="n">
        <v>0.2456745394659963</v>
      </c>
      <c r="K8" s="482" t="n">
        <v>0.054406</v>
      </c>
      <c r="L8" s="482" t="n">
        <v>0.6791998663586672</v>
      </c>
      <c r="M8" s="482" t="n">
        <v>0.05284676268305152</v>
      </c>
      <c r="N8" s="483" t="n">
        <v>0.1356689082812272</v>
      </c>
      <c r="O8" s="483" t="n">
        <v>8.915344526636781</v>
      </c>
      <c r="P8" s="483" t="inlineStr">
        <is>
          <t>NA</t>
        </is>
      </c>
      <c r="Q8" s="483" t="inlineStr">
        <is>
          <t>NA</t>
        </is>
      </c>
      <c r="R8" s="483" t="n">
        <v>1.137116206218977</v>
      </c>
      <c r="S8" s="483" t="n">
        <v>23.38045406728875</v>
      </c>
      <c r="T8" s="482" t="inlineStr">
        <is>
          <t>NA</t>
        </is>
      </c>
      <c r="U8" s="482" t="n">
        <v>0.03772105485958777</v>
      </c>
      <c r="V8" s="482" t="n">
        <v>0.04141034109444433</v>
      </c>
      <c r="W8" s="482" t="n">
        <v>0.05284676268305152</v>
      </c>
      <c r="X8" s="482" t="n">
        <v>0.1154484306660823</v>
      </c>
      <c r="Y8" s="482" t="n">
        <v>0.386738920946787</v>
      </c>
      <c r="Z8" s="482" t="n">
        <v>0.386738920946787</v>
      </c>
      <c r="AA8" s="484" t="n">
        <v>0.003964435373141322</v>
      </c>
    </row>
    <row r="9" customFormat="1" s="138">
      <c r="A9" s="147" t="inlineStr">
        <is>
          <t>Banks (Regional)</t>
        </is>
      </c>
      <c r="B9" s="268" t="n">
        <v>825</v>
      </c>
      <c r="C9" s="482" t="n">
        <v>0.08385352769679301</v>
      </c>
      <c r="D9" s="482" t="n">
        <v>-1.84356592717434e-05</v>
      </c>
      <c r="E9" s="482" t="inlineStr">
        <is>
          <t>NA</t>
        </is>
      </c>
      <c r="F9" s="482" t="n">
        <v>0.1888032243731155</v>
      </c>
      <c r="G9" s="483" t="n">
        <v>0.300363382663931</v>
      </c>
      <c r="H9" s="483" t="n">
        <v>0.5134872216822973</v>
      </c>
      <c r="I9" s="482" t="n">
        <v>0.06840933058071334</v>
      </c>
      <c r="J9" s="482" t="n">
        <v>0.2333197668167571</v>
      </c>
      <c r="K9" s="482" t="n">
        <v>0.054406</v>
      </c>
      <c r="L9" s="482" t="n">
        <v>0.6691759667879212</v>
      </c>
      <c r="M9" s="482" t="n">
        <v>0.04980213479454618</v>
      </c>
      <c r="N9" s="483" t="n">
        <v>0.1560152998323367</v>
      </c>
      <c r="O9" s="483" t="n">
        <v>6.853213297701307</v>
      </c>
      <c r="P9" s="483" t="inlineStr">
        <is>
          <t>NA</t>
        </is>
      </c>
      <c r="Q9" s="483" t="inlineStr">
        <is>
          <t>NA</t>
        </is>
      </c>
      <c r="R9" s="483" t="n">
        <v>0.8521249253102618</v>
      </c>
      <c r="S9" s="483" t="n">
        <v>27.96282854641907</v>
      </c>
      <c r="T9" s="482" t="inlineStr">
        <is>
          <t>NA</t>
        </is>
      </c>
      <c r="U9" s="482" t="n">
        <v>0.02869397566472593</v>
      </c>
      <c r="V9" s="482" t="n">
        <v>0.01112152021199289</v>
      </c>
      <c r="W9" s="482" t="inlineStr">
        <is>
          <t>NA</t>
        </is>
      </c>
      <c r="X9" s="482" t="n">
        <v>0.08743636772936156</v>
      </c>
      <c r="Y9" s="482" t="n">
        <v>0.3240942519908634</v>
      </c>
      <c r="Z9" s="482" t="n">
        <v>0.3240942519908634</v>
      </c>
      <c r="AA9" s="484" t="n">
        <v>-0.0004985057620980141</v>
      </c>
    </row>
    <row r="10" customFormat="1" s="138">
      <c r="A10" s="147" t="inlineStr">
        <is>
          <t>Beverage (Alcoholic)</t>
        </is>
      </c>
      <c r="B10" s="268" t="n">
        <v>217</v>
      </c>
      <c r="C10" s="482" t="n">
        <v>0.08623367231638417</v>
      </c>
      <c r="D10" s="482" t="n">
        <v>0.2246869431320431</v>
      </c>
      <c r="E10" s="482" t="n">
        <v>0.1541797328393322</v>
      </c>
      <c r="F10" s="482" t="n">
        <v>0.2613676519002731</v>
      </c>
      <c r="G10" s="483" t="n">
        <v>0.7250443439894131</v>
      </c>
      <c r="H10" s="483" t="n">
        <v>0.7926708486212135</v>
      </c>
      <c r="I10" s="482" t="n">
        <v>0.08412736877737433</v>
      </c>
      <c r="J10" s="482" t="n">
        <v>0.3400924182097906</v>
      </c>
      <c r="K10" s="482" t="n">
        <v>0.057772</v>
      </c>
      <c r="L10" s="482" t="n">
        <v>0.1686994095482963</v>
      </c>
      <c r="M10" s="482" t="n">
        <v>0.07720864747563046</v>
      </c>
      <c r="N10" s="483" t="n">
        <v>0.8429143566413393</v>
      </c>
      <c r="O10" s="483" t="n">
        <v>3.317562249652816</v>
      </c>
      <c r="P10" s="483" t="n">
        <v>12.21587017546518</v>
      </c>
      <c r="Q10" s="483" t="n">
        <v>14.66554108192349</v>
      </c>
      <c r="R10" s="483" t="n">
        <v>2.792196541240661</v>
      </c>
      <c r="S10" s="483" t="n">
        <v>46.91779425396877</v>
      </c>
      <c r="T10" s="482" t="n">
        <v>0.1089390607252331</v>
      </c>
      <c r="U10" s="482" t="n">
        <v>0.04942352468965783</v>
      </c>
      <c r="V10" s="482" t="n">
        <v>0.02150371483904871</v>
      </c>
      <c r="W10" s="482" t="n">
        <v>0.1350866678403306</v>
      </c>
      <c r="X10" s="482" t="n">
        <v>0.1368554582862769</v>
      </c>
      <c r="Y10" s="482" t="n">
        <v>0.6482262661274606</v>
      </c>
      <c r="Z10" s="482" t="n">
        <v>0.6482262661274606</v>
      </c>
      <c r="AA10" s="484" t="n">
        <v>0.2240047000147512</v>
      </c>
    </row>
    <row r="11" customFormat="1" s="138">
      <c r="A11" s="147" t="inlineStr">
        <is>
          <t>Beverage (Soft)</t>
        </is>
      </c>
      <c r="B11" s="268" t="n">
        <v>94</v>
      </c>
      <c r="C11" s="482" t="n">
        <v>0.1146848484848485</v>
      </c>
      <c r="D11" s="482" t="n">
        <v>0.1762373004333796</v>
      </c>
      <c r="E11" s="482" t="n">
        <v>0.2536750868954302</v>
      </c>
      <c r="F11" s="482" t="n">
        <v>0.2150647923164333</v>
      </c>
      <c r="G11" s="483" t="n">
        <v>0.5420226574467705</v>
      </c>
      <c r="H11" s="483" t="n">
        <v>0.5928484661583204</v>
      </c>
      <c r="I11" s="482" t="n">
        <v>0.07287736864471345</v>
      </c>
      <c r="J11" s="482" t="n">
        <v>0.3692959472824889</v>
      </c>
      <c r="K11" s="482" t="n">
        <v>0.057772</v>
      </c>
      <c r="L11" s="482" t="n">
        <v>0.1576833132689677</v>
      </c>
      <c r="M11" s="482" t="n">
        <v>0.0681843781577377</v>
      </c>
      <c r="N11" s="483" t="n">
        <v>1.684058870872386</v>
      </c>
      <c r="O11" s="483" t="n">
        <v>3.479428463941298</v>
      </c>
      <c r="P11" s="483" t="n">
        <v>15.96984623355032</v>
      </c>
      <c r="Q11" s="483" t="n">
        <v>19.56846985783336</v>
      </c>
      <c r="R11" s="483" t="n">
        <v>5.764797681476511</v>
      </c>
      <c r="S11" s="483" t="n">
        <v>25.61747416655314</v>
      </c>
      <c r="T11" s="482" t="n">
        <v>-0.04259179605187283</v>
      </c>
      <c r="U11" s="482" t="n">
        <v>0.05084832952342258</v>
      </c>
      <c r="V11" s="482" t="n">
        <v>0.04017224207262719</v>
      </c>
      <c r="W11" s="482" t="n">
        <v>0.3284070707327453</v>
      </c>
      <c r="X11" s="482" t="n">
        <v>0.2598706885673671</v>
      </c>
      <c r="Y11" s="482" t="n">
        <v>0.6925682809074487</v>
      </c>
      <c r="Z11" s="482" t="n">
        <v>0.6925682809074487</v>
      </c>
      <c r="AA11" s="484" t="n">
        <v>0.1769400293198462</v>
      </c>
    </row>
    <row r="12" customFormat="1" s="138">
      <c r="A12" s="147" t="inlineStr">
        <is>
          <t>Broadcasting</t>
        </is>
      </c>
      <c r="B12" s="268" t="n">
        <v>127</v>
      </c>
      <c r="C12" s="482" t="n">
        <v>0.04378435185185185</v>
      </c>
      <c r="D12" s="482" t="n">
        <v>0.099745610173364</v>
      </c>
      <c r="E12" s="482" t="n">
        <v>0.09505074643010343</v>
      </c>
      <c r="F12" s="482" t="n">
        <v>0.2739218863111449</v>
      </c>
      <c r="G12" s="483" t="n">
        <v>0.6557707626756251</v>
      </c>
      <c r="H12" s="483" t="n">
        <v>0.832172827138835</v>
      </c>
      <c r="I12" s="482" t="n">
        <v>0.08635133016791641</v>
      </c>
      <c r="J12" s="482" t="n">
        <v>0.4048451394444616</v>
      </c>
      <c r="K12" s="482" t="n">
        <v>0.057772</v>
      </c>
      <c r="L12" s="482" t="n">
        <v>0.3621320222057915</v>
      </c>
      <c r="M12" s="482" t="n">
        <v>0.07069415870681217</v>
      </c>
      <c r="N12" s="483" t="n">
        <v>1.124682571928328</v>
      </c>
      <c r="O12" s="483" t="n">
        <v>1.28396634799039</v>
      </c>
      <c r="P12" s="483" t="n">
        <v>8.470985533530179</v>
      </c>
      <c r="Q12" s="483" t="n">
        <v>12.46141938306218</v>
      </c>
      <c r="R12" s="483" t="n">
        <v>1.146614660496049</v>
      </c>
      <c r="S12" s="483" t="n">
        <v>24.0900467177271</v>
      </c>
      <c r="T12" s="482" t="n">
        <v>0.1149106002691143</v>
      </c>
      <c r="U12" s="482" t="n">
        <v>0.03068373401142042</v>
      </c>
      <c r="V12" s="482" t="n">
        <v>-0.01573549859391516</v>
      </c>
      <c r="W12" s="482" t="n">
        <v>1.190689467464322</v>
      </c>
      <c r="X12" s="482" t="n">
        <v>0.04473782008334493</v>
      </c>
      <c r="Y12" s="482" t="n">
        <v>0.6964216921009886</v>
      </c>
      <c r="Z12" s="482" t="n">
        <v>0.6964216921009886</v>
      </c>
      <c r="AA12" s="484" t="n">
        <v>0.09990661270545796</v>
      </c>
    </row>
    <row r="13" customFormat="1" s="138">
      <c r="A13" s="147" t="inlineStr">
        <is>
          <t>Brokerage &amp; Investment Banking</t>
        </is>
      </c>
      <c r="B13" s="268" t="n">
        <v>623</v>
      </c>
      <c r="C13" s="482" t="n">
        <v>0.2056042203742203</v>
      </c>
      <c r="D13" s="482" t="n">
        <v>0.009369808912887721</v>
      </c>
      <c r="E13" s="482" t="inlineStr">
        <is>
          <t>NA</t>
        </is>
      </c>
      <c r="F13" s="482" t="n">
        <v>0.2065715244003343</v>
      </c>
      <c r="G13" s="483" t="n">
        <v>0.4895737616143335</v>
      </c>
      <c r="H13" s="483" t="n">
        <v>0.9846136258120903</v>
      </c>
      <c r="I13" s="482" t="n">
        <v>0.0949337471332207</v>
      </c>
      <c r="J13" s="482" t="n">
        <v>0.4096425651180902</v>
      </c>
      <c r="K13" s="482" t="n">
        <v>0.057772</v>
      </c>
      <c r="L13" s="482" t="n">
        <v>0.6417521201815757</v>
      </c>
      <c r="M13" s="482" t="n">
        <v>0.06167911262613984</v>
      </c>
      <c r="N13" s="483" t="n">
        <v>0.2205893241741448</v>
      </c>
      <c r="O13" s="483" t="n">
        <v>6.425086045280601</v>
      </c>
      <c r="P13" s="483" t="inlineStr">
        <is>
          <t>NA</t>
        </is>
      </c>
      <c r="Q13" s="483" t="inlineStr">
        <is>
          <t>NA</t>
        </is>
      </c>
      <c r="R13" s="483" t="n">
        <v>1.826843688865809</v>
      </c>
      <c r="S13" s="483" t="n">
        <v>53.98421953296227</v>
      </c>
      <c r="T13" s="482" t="n">
        <v>-1.351920263628781</v>
      </c>
      <c r="U13" s="482" t="n">
        <v>0.02055931639036452</v>
      </c>
      <c r="V13" s="482" t="n">
        <v>-0.02327760480171667</v>
      </c>
      <c r="W13" s="482" t="n">
        <v>-18.27826446284563</v>
      </c>
      <c r="X13" s="482" t="n">
        <v>0.1262058152334762</v>
      </c>
      <c r="Y13" s="482" t="n">
        <v>0.3937461996953135</v>
      </c>
      <c r="Z13" s="482" t="n">
        <v>0.3937461996953135</v>
      </c>
      <c r="AA13" s="484" t="n">
        <v>0.009198303646540864</v>
      </c>
    </row>
    <row r="14" customFormat="1" s="138">
      <c r="A14" s="147" t="inlineStr">
        <is>
          <t>Building Materials</t>
        </is>
      </c>
      <c r="B14" s="268" t="n">
        <v>469</v>
      </c>
      <c r="C14" s="482" t="n">
        <v>0.06150354395604395</v>
      </c>
      <c r="D14" s="482" t="n">
        <v>0.104013279470123</v>
      </c>
      <c r="E14" s="482" t="n">
        <v>0.1418910136383785</v>
      </c>
      <c r="F14" s="482" t="n">
        <v>0.24573048899787</v>
      </c>
      <c r="G14" s="483" t="n">
        <v>0.9027205933766406</v>
      </c>
      <c r="H14" s="483" t="n">
        <v>1.004830306752776</v>
      </c>
      <c r="I14" s="482" t="n">
        <v>0.09607194627018131</v>
      </c>
      <c r="J14" s="482" t="n">
        <v>0.3463065425796759</v>
      </c>
      <c r="K14" s="482" t="n">
        <v>0.057772</v>
      </c>
      <c r="L14" s="482" t="n">
        <v>0.185531557752461</v>
      </c>
      <c r="M14" s="482" t="n">
        <v>0.08624680673034867</v>
      </c>
      <c r="N14" s="483" t="n">
        <v>1.736044949585409</v>
      </c>
      <c r="O14" s="483" t="n">
        <v>1.885103661587265</v>
      </c>
      <c r="P14" s="483" t="n">
        <v>12.41049028823695</v>
      </c>
      <c r="Q14" s="483" t="n">
        <v>17.77273086059952</v>
      </c>
      <c r="R14" s="483" t="n">
        <v>2.792930450487378</v>
      </c>
      <c r="S14" s="483" t="n">
        <v>50.22868282017253</v>
      </c>
      <c r="T14" s="482" t="n">
        <v>0.1764431626868936</v>
      </c>
      <c r="U14" s="482" t="n">
        <v>0.04220721589610317</v>
      </c>
      <c r="V14" s="482" t="n">
        <v>0.03851289586139801</v>
      </c>
      <c r="W14" s="482" t="n">
        <v>0.5678532356760978</v>
      </c>
      <c r="X14" s="482" t="n">
        <v>0.1199623129442536</v>
      </c>
      <c r="Y14" s="482" t="n">
        <v>0.3940633772763545</v>
      </c>
      <c r="Z14" s="482" t="n">
        <v>0.3940633772763544</v>
      </c>
      <c r="AA14" s="484" t="n">
        <v>0.1059645664693134</v>
      </c>
    </row>
    <row r="15" customFormat="1" s="138">
      <c r="A15" s="147" t="inlineStr">
        <is>
          <t>Business &amp; Consumer Services</t>
        </is>
      </c>
      <c r="B15" s="268" t="n">
        <v>994</v>
      </c>
      <c r="C15" s="482" t="n">
        <v>0.08317985294117648</v>
      </c>
      <c r="D15" s="482" t="n">
        <v>0.1014531411173584</v>
      </c>
      <c r="E15" s="482" t="n">
        <v>0.2209232108722554</v>
      </c>
      <c r="F15" s="482" t="n">
        <v>0.240598575019885</v>
      </c>
      <c r="G15" s="483" t="n">
        <v>0.9083303812347316</v>
      </c>
      <c r="H15" s="483" t="n">
        <v>0.9921459759086856</v>
      </c>
      <c r="I15" s="482" t="n">
        <v>0.09535781844365901</v>
      </c>
      <c r="J15" s="482" t="n">
        <v>0.39436765478505</v>
      </c>
      <c r="K15" s="482" t="n">
        <v>0.057772</v>
      </c>
      <c r="L15" s="482" t="n">
        <v>0.1708602159893155</v>
      </c>
      <c r="M15" s="482" t="n">
        <v>0.08643164082203345</v>
      </c>
      <c r="N15" s="483" t="n">
        <v>2.798120026864799</v>
      </c>
      <c r="O15" s="483" t="n">
        <v>2.038494152735544</v>
      </c>
      <c r="P15" s="483" t="n">
        <v>14.08667338014467</v>
      </c>
      <c r="Q15" s="483" t="n">
        <v>19.47730673518671</v>
      </c>
      <c r="R15" s="483" t="n">
        <v>4.312507113881225</v>
      </c>
      <c r="S15" s="483" t="n">
        <v>33.30317046429641</v>
      </c>
      <c r="T15" s="482" t="n">
        <v>0.1086695822781252</v>
      </c>
      <c r="U15" s="482" t="n">
        <v>0.02434992145368171</v>
      </c>
      <c r="V15" s="482" t="n">
        <v>0.0184769805890268</v>
      </c>
      <c r="W15" s="482" t="n">
        <v>0.3306833532753314</v>
      </c>
      <c r="X15" s="482" t="n">
        <v>0.1526748014600343</v>
      </c>
      <c r="Y15" s="482" t="n">
        <v>0.5010992675903158</v>
      </c>
      <c r="Z15" s="482" t="n">
        <v>0.5010992675903158</v>
      </c>
      <c r="AA15" s="484" t="n">
        <v>0.1017907093921405</v>
      </c>
    </row>
    <row r="16" customFormat="1" s="138">
      <c r="A16" s="147" t="inlineStr">
        <is>
          <t>Cable TV</t>
        </is>
      </c>
      <c r="B16" s="268" t="n">
        <v>42</v>
      </c>
      <c r="C16" s="482" t="n">
        <v>0.04344324324324324</v>
      </c>
      <c r="D16" s="482" t="n">
        <v>0.1733696641675961</v>
      </c>
      <c r="E16" s="482" t="n">
        <v>0.1114996469460938</v>
      </c>
      <c r="F16" s="482" t="n">
        <v>0.1902468001305999</v>
      </c>
      <c r="G16" s="483" t="n">
        <v>0.5908296327587623</v>
      </c>
      <c r="H16" s="483" t="n">
        <v>1.096995264367076</v>
      </c>
      <c r="I16" s="482" t="n">
        <v>0.1012608333838664</v>
      </c>
      <c r="J16" s="482" t="n">
        <v>0.3902685527392315</v>
      </c>
      <c r="K16" s="482" t="n">
        <v>0.057772</v>
      </c>
      <c r="L16" s="482" t="n">
        <v>0.5539018621904962</v>
      </c>
      <c r="M16" s="482" t="n">
        <v>0.06905388292441811</v>
      </c>
      <c r="N16" s="483" t="n">
        <v>0.7289545858158519</v>
      </c>
      <c r="O16" s="483" t="n">
        <v>2.161055912071605</v>
      </c>
      <c r="P16" s="483" t="n">
        <v>6.577342258822858</v>
      </c>
      <c r="Q16" s="483" t="n">
        <v>12.47474740791351</v>
      </c>
      <c r="R16" s="483" t="n">
        <v>1.382253894334376</v>
      </c>
      <c r="S16" s="483" t="n">
        <v>69.65703724181841</v>
      </c>
      <c r="T16" s="482" t="n">
        <v>0.02563457440573476</v>
      </c>
      <c r="U16" s="482" t="n">
        <v>0.1253108803031226</v>
      </c>
      <c r="V16" s="482" t="n">
        <v>-0.008462236952245281</v>
      </c>
      <c r="W16" s="482" t="n">
        <v>-0.06103697963226201</v>
      </c>
      <c r="X16" s="482" t="n">
        <v>0.08117679258610265</v>
      </c>
      <c r="Y16" s="482" t="n">
        <v>0.427508090181722</v>
      </c>
      <c r="Z16" s="482" t="n">
        <v>0.427508090181722</v>
      </c>
      <c r="AA16" s="484" t="n">
        <v>0.1708042415923675</v>
      </c>
    </row>
    <row r="17" customFormat="1" s="138">
      <c r="A17" s="147" t="inlineStr">
        <is>
          <t>Chemical (Basic)</t>
        </is>
      </c>
      <c r="B17" s="268" t="n">
        <v>909</v>
      </c>
      <c r="C17" s="482" t="n">
        <v>0.1022355144032922</v>
      </c>
      <c r="D17" s="482" t="n">
        <v>0.03683526617345578</v>
      </c>
      <c r="E17" s="482" t="n">
        <v>0.03150724849543016</v>
      </c>
      <c r="F17" s="482" t="n">
        <v>0.1952137018339548</v>
      </c>
      <c r="G17" s="483" t="n">
        <v>1.002147261333976</v>
      </c>
      <c r="H17" s="483" t="n">
        <v>1.256025755860968</v>
      </c>
      <c r="I17" s="482" t="n">
        <v>0.1102142500549725</v>
      </c>
      <c r="J17" s="482" t="n">
        <v>0.3769658576831276</v>
      </c>
      <c r="K17" s="482" t="n">
        <v>0.057772</v>
      </c>
      <c r="L17" s="482" t="n">
        <v>0.3354586303709491</v>
      </c>
      <c r="M17" s="482" t="n">
        <v>0.08770530925033596</v>
      </c>
      <c r="N17" s="483" t="n">
        <v>1.026596001628205</v>
      </c>
      <c r="O17" s="483" t="n">
        <v>1.430356040944339</v>
      </c>
      <c r="P17" s="483" t="n">
        <v>13.70731320537325</v>
      </c>
      <c r="Q17" s="483" t="n">
        <v>36.46457577473927</v>
      </c>
      <c r="R17" s="483" t="n">
        <v>1.447331671682962</v>
      </c>
      <c r="S17" s="483" t="n">
        <v>114.4192437230266</v>
      </c>
      <c r="T17" s="482" t="n">
        <v>0.1198485933607353</v>
      </c>
      <c r="U17" s="482" t="n">
        <v>0.08007167165324842</v>
      </c>
      <c r="V17" s="482" t="n">
        <v>0.04269507096280636</v>
      </c>
      <c r="W17" s="482" t="n">
        <v>1.387265232285311</v>
      </c>
      <c r="X17" s="482" t="n">
        <v>-0.005573782630959668</v>
      </c>
      <c r="Y17" s="482" t="n">
        <v>0.0257938561950232</v>
      </c>
      <c r="Z17" s="482" t="n">
        <v>0.02579385619502317</v>
      </c>
      <c r="AA17" s="484" t="n">
        <v>0.03770662879468786</v>
      </c>
    </row>
    <row r="18" customFormat="1" s="138">
      <c r="A18" s="147" t="inlineStr">
        <is>
          <t>Chemical (Diversified)</t>
        </is>
      </c>
      <c r="B18" s="268" t="n">
        <v>63</v>
      </c>
      <c r="C18" s="482" t="n">
        <v>0.08666413793103449</v>
      </c>
      <c r="D18" s="482" t="n">
        <v>0.06829306808360508</v>
      </c>
      <c r="E18" s="482" t="n">
        <v>0.06387008533010807</v>
      </c>
      <c r="F18" s="482" t="n">
        <v>0.2619878560483466</v>
      </c>
      <c r="G18" s="483" t="n">
        <v>0.9100571271749189</v>
      </c>
      <c r="H18" s="483" t="n">
        <v>1.169202539534707</v>
      </c>
      <c r="I18" s="482" t="n">
        <v>0.105326102975804</v>
      </c>
      <c r="J18" s="482" t="n">
        <v>0.2976335182440655</v>
      </c>
      <c r="K18" s="482" t="n">
        <v>0.054406</v>
      </c>
      <c r="L18" s="482" t="n">
        <v>0.3443446292047727</v>
      </c>
      <c r="M18" s="482" t="n">
        <v>0.08303911819198612</v>
      </c>
      <c r="N18" s="483" t="n">
        <v>1.211716408598134</v>
      </c>
      <c r="O18" s="483" t="n">
        <v>1.09533195940077</v>
      </c>
      <c r="P18" s="483" t="n">
        <v>8.654862706456012</v>
      </c>
      <c r="Q18" s="483" t="n">
        <v>16.0032352044593</v>
      </c>
      <c r="R18" s="483" t="n">
        <v>1.249065420355111</v>
      </c>
      <c r="S18" s="483" t="n">
        <v>25.31045837315828</v>
      </c>
      <c r="T18" s="482" t="n">
        <v>0.2094916906520285</v>
      </c>
      <c r="U18" s="482" t="n">
        <v>0.07144863379156786</v>
      </c>
      <c r="V18" s="482" t="n">
        <v>0.03765567387890058</v>
      </c>
      <c r="W18" s="482" t="n">
        <v>0.7879921497032947</v>
      </c>
      <c r="X18" s="482" t="n">
        <v>0.04612381373974563</v>
      </c>
      <c r="Y18" s="482" t="n">
        <v>0.9479579715987305</v>
      </c>
      <c r="Z18" s="482" t="n">
        <v>0.9479579715987305</v>
      </c>
      <c r="AA18" s="484" t="n">
        <v>0.07186235416761465</v>
      </c>
    </row>
    <row r="19" customFormat="1" s="138">
      <c r="A19" s="147" t="inlineStr">
        <is>
          <t>Chemical (Specialty)</t>
        </is>
      </c>
      <c r="B19" s="268" t="n">
        <v>952</v>
      </c>
      <c r="C19" s="482" t="n">
        <v>0.104829791086351</v>
      </c>
      <c r="D19" s="482" t="n">
        <v>0.1096589444553511</v>
      </c>
      <c r="E19" s="482" t="n">
        <v>0.09511963803857178</v>
      </c>
      <c r="F19" s="482" t="n">
        <v>0.2368584498762568</v>
      </c>
      <c r="G19" s="483" t="n">
        <v>1.042806876150528</v>
      </c>
      <c r="H19" s="483" t="n">
        <v>1.153626570549779</v>
      </c>
      <c r="I19" s="482" t="n">
        <v>0.1044491759219526</v>
      </c>
      <c r="J19" s="482" t="n">
        <v>0.3944561466212217</v>
      </c>
      <c r="K19" s="482" t="n">
        <v>0.057772</v>
      </c>
      <c r="L19" s="482" t="n">
        <v>0.1903826322183655</v>
      </c>
      <c r="M19" s="482" t="n">
        <v>0.09277226044219615</v>
      </c>
      <c r="N19" s="483" t="n">
        <v>1.086801036464634</v>
      </c>
      <c r="O19" s="483" t="n">
        <v>2.369147221270728</v>
      </c>
      <c r="P19" s="483" t="n">
        <v>13.10422120366732</v>
      </c>
      <c r="Q19" s="483" t="n">
        <v>21.13221706534345</v>
      </c>
      <c r="R19" s="483" t="n">
        <v>2.305932026419518</v>
      </c>
      <c r="S19" s="483" t="n">
        <v>71.55248185616203</v>
      </c>
      <c r="T19" s="482" t="n">
        <v>0.188851790471505</v>
      </c>
      <c r="U19" s="482" t="n">
        <v>0.08356948030847569</v>
      </c>
      <c r="V19" s="482" t="n">
        <v>0.04059743600865064</v>
      </c>
      <c r="W19" s="482" t="n">
        <v>0.5714053236357013</v>
      </c>
      <c r="X19" s="482" t="n">
        <v>0.07754989282786187</v>
      </c>
      <c r="Y19" s="482" t="n">
        <v>0.6322933133153792</v>
      </c>
      <c r="Z19" s="482" t="n">
        <v>0.6322933133153792</v>
      </c>
      <c r="AA19" s="484" t="n">
        <v>0.1114082506718834</v>
      </c>
    </row>
    <row r="20" customFormat="1" s="138">
      <c r="A20" s="147" t="inlineStr">
        <is>
          <t>Coal &amp; Related Energy</t>
        </is>
      </c>
      <c r="B20" s="268" t="n">
        <v>212</v>
      </c>
      <c r="C20" s="482" t="n">
        <v>0.1417645794392523</v>
      </c>
      <c r="D20" s="482" t="n">
        <v>0.160380928991067</v>
      </c>
      <c r="E20" s="482" t="n">
        <v>0.1415339475997465</v>
      </c>
      <c r="F20" s="482" t="n">
        <v>0.2253369140725343</v>
      </c>
      <c r="G20" s="483" t="n">
        <v>1.133004876354471</v>
      </c>
      <c r="H20" s="483" t="n">
        <v>1.142939745797756</v>
      </c>
      <c r="I20" s="482" t="n">
        <v>0.1038475076884137</v>
      </c>
      <c r="J20" s="482" t="n">
        <v>0.5863203643675186</v>
      </c>
      <c r="K20" s="482" t="n">
        <v>0.060013</v>
      </c>
      <c r="L20" s="482" t="n">
        <v>0.1659934006150313</v>
      </c>
      <c r="M20" s="482" t="n">
        <v>0.09404396968593158</v>
      </c>
      <c r="N20" s="483" t="n">
        <v>1.018141877124254</v>
      </c>
      <c r="O20" s="483" t="n">
        <v>2.138494087796913</v>
      </c>
      <c r="P20" s="483" t="n">
        <v>7.963502495488167</v>
      </c>
      <c r="Q20" s="483" t="n">
        <v>12.44827555769511</v>
      </c>
      <c r="R20" s="483" t="n">
        <v>1.702759118798788</v>
      </c>
      <c r="S20" s="483" t="n">
        <v>55.83822331560874</v>
      </c>
      <c r="T20" s="482" t="n">
        <v>-0.03182386355455838</v>
      </c>
      <c r="U20" s="482" t="n">
        <v>0.1531792993778489</v>
      </c>
      <c r="V20" s="482" t="n">
        <v>0.07980645606284488</v>
      </c>
      <c r="W20" s="482" t="n">
        <v>0.8101914176507035</v>
      </c>
      <c r="X20" s="482" t="n">
        <v>0.1064305784503838</v>
      </c>
      <c r="Y20" s="482" t="n">
        <v>0.1457356470815472</v>
      </c>
      <c r="Z20" s="482" t="n">
        <v>0.1457356470815472</v>
      </c>
      <c r="AA20" s="484" t="n">
        <v>0.1600560850651751</v>
      </c>
    </row>
    <row r="21" customFormat="1" s="138">
      <c r="A21" s="147" t="inlineStr">
        <is>
          <t>Computer Services</t>
        </is>
      </c>
      <c r="B21" s="268" t="n">
        <v>1225</v>
      </c>
      <c r="C21" s="482" t="n">
        <v>0.1362441606714628</v>
      </c>
      <c r="D21" s="482" t="n">
        <v>0.07559715564708971</v>
      </c>
      <c r="E21" s="482" t="n">
        <v>0.2095530575895281</v>
      </c>
      <c r="F21" s="482" t="n">
        <v>0.241104512501915</v>
      </c>
      <c r="G21" s="483" t="n">
        <v>1.071576962077093</v>
      </c>
      <c r="H21" s="483" t="n">
        <v>1.116690482307339</v>
      </c>
      <c r="I21" s="482" t="n">
        <v>0.1023696741539032</v>
      </c>
      <c r="J21" s="482" t="n">
        <v>0.4251425025648063</v>
      </c>
      <c r="K21" s="482" t="n">
        <v>0.057772</v>
      </c>
      <c r="L21" s="482" t="n">
        <v>0.1305361924568258</v>
      </c>
      <c r="M21" s="482" t="n">
        <v>0.09463482640319927</v>
      </c>
      <c r="N21" s="483" t="n">
        <v>3.754696569367509</v>
      </c>
      <c r="O21" s="483" t="n">
        <v>1.462691531651747</v>
      </c>
      <c r="P21" s="483" t="n">
        <v>14.62189410503168</v>
      </c>
      <c r="Q21" s="483" t="n">
        <v>18.50678978918463</v>
      </c>
      <c r="R21" s="483" t="n">
        <v>3.988447812965845</v>
      </c>
      <c r="S21" s="483" t="n">
        <v>57.1524916632356</v>
      </c>
      <c r="T21" s="482" t="n">
        <v>0.2986624035760102</v>
      </c>
      <c r="U21" s="482" t="n">
        <v>0.01127500409349758</v>
      </c>
      <c r="V21" s="482" t="n">
        <v>0.01295621319281684</v>
      </c>
      <c r="W21" s="482" t="n">
        <v>0.3204695946130923</v>
      </c>
      <c r="X21" s="482" t="n">
        <v>0.1712249184908235</v>
      </c>
      <c r="Y21" s="482" t="n">
        <v>0.5308893627711585</v>
      </c>
      <c r="Z21" s="482" t="n">
        <v>0.5308893627711585</v>
      </c>
      <c r="AA21" s="484" t="n">
        <v>0.07699690554423458</v>
      </c>
    </row>
    <row r="22" customFormat="1" s="138">
      <c r="A22" s="147" t="inlineStr">
        <is>
          <t>Computers/Peripherals</t>
        </is>
      </c>
      <c r="B22" s="268" t="n">
        <v>343</v>
      </c>
      <c r="C22" s="482" t="n">
        <v>0.03269141263940521</v>
      </c>
      <c r="D22" s="482" t="n">
        <v>0.1261161260895933</v>
      </c>
      <c r="E22" s="482" t="n">
        <v>0.1991018502577356</v>
      </c>
      <c r="F22" s="482" t="n">
        <v>0.1521153393536447</v>
      </c>
      <c r="G22" s="483" t="n">
        <v>1.468198255805328</v>
      </c>
      <c r="H22" s="483" t="n">
        <v>1.486104698951083</v>
      </c>
      <c r="I22" s="482" t="n">
        <v>0.123167694550946</v>
      </c>
      <c r="J22" s="482" t="n">
        <v>0.4355863705546168</v>
      </c>
      <c r="K22" s="482" t="n">
        <v>0.057772</v>
      </c>
      <c r="L22" s="482" t="n">
        <v>0.0582940538462114</v>
      </c>
      <c r="M22" s="482" t="n">
        <v>0.1185011126646903</v>
      </c>
      <c r="N22" s="483" t="n">
        <v>2.483535697457855</v>
      </c>
      <c r="O22" s="483" t="n">
        <v>3.401964501723067</v>
      </c>
      <c r="P22" s="483" t="n">
        <v>20.17631396252562</v>
      </c>
      <c r="Q22" s="483" t="n">
        <v>26.72844191888277</v>
      </c>
      <c r="R22" s="483" t="n">
        <v>8.108983243361163</v>
      </c>
      <c r="S22" s="483" t="n">
        <v>72.09569105131055</v>
      </c>
      <c r="T22" s="482" t="n">
        <v>0.0468501235687087</v>
      </c>
      <c r="U22" s="482" t="n">
        <v>0.04658691068189368</v>
      </c>
      <c r="V22" s="482" t="n">
        <v>0.04470095057015005</v>
      </c>
      <c r="W22" s="482" t="n">
        <v>0.5636063210472699</v>
      </c>
      <c r="X22" s="482" t="n">
        <v>0.277039452958027</v>
      </c>
      <c r="Y22" s="482" t="n">
        <v>0.2278229782793236</v>
      </c>
      <c r="Z22" s="482" t="n">
        <v>0.2278229782793236</v>
      </c>
      <c r="AA22" s="484" t="n">
        <v>0.1308945366117925</v>
      </c>
    </row>
    <row r="23" customFormat="1" s="138">
      <c r="A23" s="147" t="inlineStr">
        <is>
          <t>Construction Supplies</t>
        </is>
      </c>
      <c r="B23" s="268" t="n">
        <v>804</v>
      </c>
      <c r="C23" s="482" t="n">
        <v>0.1072884663536776</v>
      </c>
      <c r="D23" s="482" t="n">
        <v>0.09709673046607357</v>
      </c>
      <c r="E23" s="482" t="n">
        <v>0.09292383137761633</v>
      </c>
      <c r="F23" s="482" t="n">
        <v>0.2179975327781559</v>
      </c>
      <c r="G23" s="483" t="n">
        <v>0.916676263756567</v>
      </c>
      <c r="H23" s="483" t="n">
        <v>1.034395575517056</v>
      </c>
      <c r="I23" s="482" t="n">
        <v>0.09773647090161025</v>
      </c>
      <c r="J23" s="482" t="n">
        <v>0.3731687162179469</v>
      </c>
      <c r="K23" s="482" t="n">
        <v>0.057772</v>
      </c>
      <c r="L23" s="482" t="n">
        <v>0.232374586691848</v>
      </c>
      <c r="M23" s="482" t="n">
        <v>0.08504388578279709</v>
      </c>
      <c r="N23" s="483" t="n">
        <v>1.225762869525703</v>
      </c>
      <c r="O23" s="483" t="n">
        <v>1.801143397732801</v>
      </c>
      <c r="P23" s="483" t="n">
        <v>12.30950884697506</v>
      </c>
      <c r="Q23" s="483" t="n">
        <v>18.06629251210746</v>
      </c>
      <c r="R23" s="483" t="n">
        <v>2.085552014437456</v>
      </c>
      <c r="S23" s="483" t="n">
        <v>113.953724234675</v>
      </c>
      <c r="T23" s="482" t="n">
        <v>0.1741098942728497</v>
      </c>
      <c r="U23" s="482" t="n">
        <v>0.05039692998533842</v>
      </c>
      <c r="V23" s="482" t="n">
        <v>0.03258718214841953</v>
      </c>
      <c r="W23" s="482" t="n">
        <v>0.5030362245690382</v>
      </c>
      <c r="X23" s="482" t="n">
        <v>0.1231367968469118</v>
      </c>
      <c r="Y23" s="482" t="n">
        <v>0.3808241185270089</v>
      </c>
      <c r="Z23" s="482" t="n">
        <v>0.3808241185270089</v>
      </c>
      <c r="AA23" s="484" t="n">
        <v>0.09875558744803167</v>
      </c>
    </row>
    <row r="24" customFormat="1" s="138">
      <c r="A24" s="147" t="inlineStr">
        <is>
          <t>Diversified</t>
        </is>
      </c>
      <c r="B24" s="268" t="n">
        <v>329</v>
      </c>
      <c r="C24" s="482" t="n">
        <v>0.1528802214022139</v>
      </c>
      <c r="D24" s="482" t="n">
        <v>0.1511301914180594</v>
      </c>
      <c r="E24" s="482" t="n">
        <v>0.08984867749422655</v>
      </c>
      <c r="F24" s="482" t="n">
        <v>0.1866219483750491</v>
      </c>
      <c r="G24" s="483" t="n">
        <v>0.6525743978395595</v>
      </c>
      <c r="H24" s="483" t="n">
        <v>0.7973881744550738</v>
      </c>
      <c r="I24" s="482" t="n">
        <v>0.08439295422182067</v>
      </c>
      <c r="J24" s="482" t="n">
        <v>0.3001957538334818</v>
      </c>
      <c r="K24" s="482" t="n">
        <v>0.057772</v>
      </c>
      <c r="L24" s="482" t="n">
        <v>0.3266130503117056</v>
      </c>
      <c r="M24" s="482" t="n">
        <v>0.07091111524574394</v>
      </c>
      <c r="N24" s="483" t="n">
        <v>0.713018226876631</v>
      </c>
      <c r="O24" s="483" t="n">
        <v>2.142610860245727</v>
      </c>
      <c r="P24" s="483" t="n">
        <v>10.93598617969207</v>
      </c>
      <c r="Q24" s="483" t="n">
        <v>13.87796565041826</v>
      </c>
      <c r="R24" s="483" t="n">
        <v>1.219083164468916</v>
      </c>
      <c r="S24" s="483" t="n">
        <v>30.90374249724573</v>
      </c>
      <c r="T24" s="482" t="n">
        <v>0.06047307870750648</v>
      </c>
      <c r="U24" s="482" t="n">
        <v>0.05049747468338432</v>
      </c>
      <c r="V24" s="482" t="n">
        <v>0.04118970458666176</v>
      </c>
      <c r="W24" s="482" t="n">
        <v>0.3940937534268104</v>
      </c>
      <c r="X24" s="482" t="n">
        <v>0.08940598086230321</v>
      </c>
      <c r="Y24" s="482" t="n">
        <v>0.2275537926825434</v>
      </c>
      <c r="Z24" s="482" t="n">
        <v>0.2275537926825434</v>
      </c>
      <c r="AA24" s="484" t="n">
        <v>0.1514242703353955</v>
      </c>
    </row>
    <row r="25" customFormat="1" s="138">
      <c r="A25" s="147" t="inlineStr">
        <is>
          <t>Drugs (Biotechnology)</t>
        </is>
      </c>
      <c r="B25" s="268" t="n">
        <v>1193</v>
      </c>
      <c r="C25" s="482" t="n">
        <v>0.2746880244399182</v>
      </c>
      <c r="D25" s="482" t="n">
        <v>0.0747631386588691</v>
      </c>
      <c r="E25" s="482" t="n">
        <v>0.02994251473785985</v>
      </c>
      <c r="F25" s="482" t="n">
        <v>0.1514735874010796</v>
      </c>
      <c r="G25" s="483" t="n">
        <v>1.180809226110082</v>
      </c>
      <c r="H25" s="483" t="n">
        <v>1.23079009870406</v>
      </c>
      <c r="I25" s="482" t="n">
        <v>0.1087934825570386</v>
      </c>
      <c r="J25" s="482" t="n">
        <v>0.6551156857132975</v>
      </c>
      <c r="K25" s="482" t="n">
        <v>0.06729499999999999</v>
      </c>
      <c r="L25" s="482" t="n">
        <v>0.1099234313818439</v>
      </c>
      <c r="M25" s="482" t="n">
        <v>0.1023551326284541</v>
      </c>
      <c r="N25" s="483" t="n">
        <v>0.7137106650893518</v>
      </c>
      <c r="O25" s="483" t="n">
        <v>7.941242537185091</v>
      </c>
      <c r="P25" s="483" t="n">
        <v>16.7139255842355</v>
      </c>
      <c r="Q25" s="483" t="n">
        <v>77.6872538057531</v>
      </c>
      <c r="R25" s="483" t="n">
        <v>6.16991008259856</v>
      </c>
      <c r="S25" s="483" t="n">
        <v>161.4363708559394</v>
      </c>
      <c r="T25" s="482" t="n">
        <v>0.2061185652369878</v>
      </c>
      <c r="U25" s="482" t="n">
        <v>0.04125881247911806</v>
      </c>
      <c r="V25" s="482" t="n">
        <v>-0.008775711371815296</v>
      </c>
      <c r="W25" s="482" t="n">
        <v>0.2884013354227785</v>
      </c>
      <c r="X25" s="482" t="n">
        <v>-0.03240908101582884</v>
      </c>
      <c r="Y25" s="482" t="n">
        <v>0.003082840460578802</v>
      </c>
      <c r="Z25" s="482" t="n">
        <v>0.003082840460578828</v>
      </c>
      <c r="AA25" s="484" t="n">
        <v>0.07711814341614401</v>
      </c>
    </row>
    <row r="26" customFormat="1" s="138">
      <c r="A26" s="147" t="inlineStr">
        <is>
          <t>Drugs (Pharmaceutical)</t>
        </is>
      </c>
      <c r="B26" s="268" t="n">
        <v>1260</v>
      </c>
      <c r="C26" s="482" t="n">
        <v>0.1405023452380951</v>
      </c>
      <c r="D26" s="482" t="n">
        <v>0.2307005981619253</v>
      </c>
      <c r="E26" s="482" t="n">
        <v>0.1473728320717214</v>
      </c>
      <c r="F26" s="482" t="n">
        <v>0.1785869778712996</v>
      </c>
      <c r="G26" s="483" t="n">
        <v>0.9987543035477139</v>
      </c>
      <c r="H26" s="483" t="n">
        <v>1.062590304522225</v>
      </c>
      <c r="I26" s="482" t="n">
        <v>0.09932383414460129</v>
      </c>
      <c r="J26" s="482" t="n">
        <v>0.4748578941902974</v>
      </c>
      <c r="K26" s="482" t="n">
        <v>0.060013</v>
      </c>
      <c r="L26" s="482" t="n">
        <v>0.129978872744778</v>
      </c>
      <c r="M26" s="482" t="n">
        <v>0.09223528915158788</v>
      </c>
      <c r="N26" s="483" t="n">
        <v>1.069789855397048</v>
      </c>
      <c r="O26" s="483" t="n">
        <v>4.396216010054473</v>
      </c>
      <c r="P26" s="483" t="n">
        <v>13.84795033944487</v>
      </c>
      <c r="Q26" s="483" t="n">
        <v>18.25249834262768</v>
      </c>
      <c r="R26" s="483" t="n">
        <v>4.168315605852477</v>
      </c>
      <c r="S26" s="483" t="n">
        <v>87.1395900402255</v>
      </c>
      <c r="T26" s="482" t="n">
        <v>0.1854197434266482</v>
      </c>
      <c r="U26" s="482" t="n">
        <v>0.05516960512930716</v>
      </c>
      <c r="V26" s="482" t="n">
        <v>0.04100221692426161</v>
      </c>
      <c r="W26" s="482" t="n">
        <v>0.2739738186617197</v>
      </c>
      <c r="X26" s="482" t="n">
        <v>0.1676965576538432</v>
      </c>
      <c r="Y26" s="482" t="n">
        <v>0.5762128480991967</v>
      </c>
      <c r="Z26" s="482" t="n">
        <v>0.5762128480991967</v>
      </c>
      <c r="AA26" s="484" t="n">
        <v>0.232777170289741</v>
      </c>
    </row>
    <row r="27" customFormat="1" s="138">
      <c r="A27" s="147" t="inlineStr">
        <is>
          <t>Education</t>
        </is>
      </c>
      <c r="B27" s="268" t="n">
        <v>281</v>
      </c>
      <c r="C27" s="482" t="n">
        <v>0.1620242780748663</v>
      </c>
      <c r="D27" s="482" t="n">
        <v>0.1592522447774741</v>
      </c>
      <c r="E27" s="482" t="n">
        <v>0.1436168305911461</v>
      </c>
      <c r="F27" s="482" t="n">
        <v>0.2182083391157739</v>
      </c>
      <c r="G27" s="483" t="n">
        <v>0.7445772281882472</v>
      </c>
      <c r="H27" s="483" t="n">
        <v>0.8117409279101255</v>
      </c>
      <c r="I27" s="482" t="n">
        <v>0.08520101424134008</v>
      </c>
      <c r="J27" s="482" t="n">
        <v>0.4191251235753797</v>
      </c>
      <c r="K27" s="482" t="n">
        <v>0.057772</v>
      </c>
      <c r="L27" s="482" t="n">
        <v>0.2224420101713282</v>
      </c>
      <c r="M27" s="482" t="n">
        <v>0.07583937082027092</v>
      </c>
      <c r="N27" s="483" t="n">
        <v>1.158577029914721</v>
      </c>
      <c r="O27" s="483" t="n">
        <v>2.059812675436004</v>
      </c>
      <c r="P27" s="483" t="n">
        <v>8.962227213831509</v>
      </c>
      <c r="Q27" s="483" t="n">
        <v>12.6386234104291</v>
      </c>
      <c r="R27" s="483" t="n">
        <v>1.875245666387401</v>
      </c>
      <c r="S27" s="483" t="n">
        <v>43.56981844578971</v>
      </c>
      <c r="T27" s="482" t="n">
        <v>0.05962165675968654</v>
      </c>
      <c r="U27" s="482" t="n">
        <v>0.04803119911203096</v>
      </c>
      <c r="V27" s="482" t="n">
        <v>0.01716441311420942</v>
      </c>
      <c r="W27" s="482" t="n">
        <v>0.2682088254248861</v>
      </c>
      <c r="X27" s="482" t="n">
        <v>0.1231223784745393</v>
      </c>
      <c r="Y27" s="482" t="n">
        <v>0.291698943380429</v>
      </c>
      <c r="Z27" s="482" t="n">
        <v>0.2916989433804289</v>
      </c>
      <c r="AA27" s="484" t="n">
        <v>0.158969011417232</v>
      </c>
    </row>
    <row r="28" customFormat="1" s="138">
      <c r="A28" s="147" t="inlineStr">
        <is>
          <t>Electrical Equipment</t>
        </is>
      </c>
      <c r="B28" s="268" t="n">
        <v>1158</v>
      </c>
      <c r="C28" s="482" t="n">
        <v>0.1226251446540881</v>
      </c>
      <c r="D28" s="482" t="n">
        <v>0.08346886353166785</v>
      </c>
      <c r="E28" s="482" t="n">
        <v>0.1144961316091309</v>
      </c>
      <c r="F28" s="482" t="n">
        <v>0.2082826655740018</v>
      </c>
      <c r="G28" s="483" t="n">
        <v>1.340641028310137</v>
      </c>
      <c r="H28" s="483" t="n">
        <v>1.37347459397753</v>
      </c>
      <c r="I28" s="482" t="n">
        <v>0.116826619640935</v>
      </c>
      <c r="J28" s="482" t="n">
        <v>0.4675953653347252</v>
      </c>
      <c r="K28" s="482" t="n">
        <v>0.060013</v>
      </c>
      <c r="L28" s="482" t="n">
        <v>0.1207865686939959</v>
      </c>
      <c r="M28" s="482" t="n">
        <v>0.1081252859545784</v>
      </c>
      <c r="N28" s="483" t="n">
        <v>1.76125580909048</v>
      </c>
      <c r="O28" s="483" t="n">
        <v>2.773452136969885</v>
      </c>
      <c r="P28" s="483" t="n">
        <v>20.85572741582318</v>
      </c>
      <c r="Q28" s="483" t="n">
        <v>31.70450980225604</v>
      </c>
      <c r="R28" s="483" t="n">
        <v>4.043956201786439</v>
      </c>
      <c r="S28" s="483" t="n">
        <v>68.10792996666788</v>
      </c>
      <c r="T28" s="482" t="n">
        <v>0.2234405368112239</v>
      </c>
      <c r="U28" s="482" t="n">
        <v>0.06486886789391699</v>
      </c>
      <c r="V28" s="482" t="n">
        <v>0.05029910515200876</v>
      </c>
      <c r="W28" s="482" t="n">
        <v>0.9335745564419485</v>
      </c>
      <c r="X28" s="482" t="n">
        <v>0.09618733418424349</v>
      </c>
      <c r="Y28" s="482" t="n">
        <v>0.5434065940764218</v>
      </c>
      <c r="Z28" s="482" t="n">
        <v>0.5434065940764218</v>
      </c>
      <c r="AA28" s="484" t="n">
        <v>0.08672941850100438</v>
      </c>
    </row>
    <row r="29" customFormat="1" s="138">
      <c r="A29" s="147" t="inlineStr">
        <is>
          <t>Electronics (Consumer &amp; Office)</t>
        </is>
      </c>
      <c r="B29" s="268" t="n">
        <v>122</v>
      </c>
      <c r="C29" s="482" t="n">
        <v>0.0487872</v>
      </c>
      <c r="D29" s="482" t="n">
        <v>0.06024299069552206</v>
      </c>
      <c r="E29" s="482" t="n">
        <v>0.08067930496038599</v>
      </c>
      <c r="F29" s="482" t="n">
        <v>0.2022039970998216</v>
      </c>
      <c r="G29" s="483" t="n">
        <v>1.192587261247057</v>
      </c>
      <c r="H29" s="483" t="n">
        <v>1.197057726576267</v>
      </c>
      <c r="I29" s="482" t="n">
        <v>0.1068943500062438</v>
      </c>
      <c r="J29" s="482" t="n">
        <v>0.4363352385632949</v>
      </c>
      <c r="K29" s="482" t="n">
        <v>0.057772</v>
      </c>
      <c r="L29" s="482" t="n">
        <v>0.1404077849602574</v>
      </c>
      <c r="M29" s="482" t="n">
        <v>0.09793926694899856</v>
      </c>
      <c r="N29" s="483" t="n">
        <v>1.905898248521927</v>
      </c>
      <c r="O29" s="483" t="n">
        <v>1.039260705734136</v>
      </c>
      <c r="P29" s="483" t="n">
        <v>10.74168895955012</v>
      </c>
      <c r="Q29" s="483" t="n">
        <v>16.90140412881469</v>
      </c>
      <c r="R29" s="483" t="n">
        <v>2.039730177567915</v>
      </c>
      <c r="S29" s="483" t="n">
        <v>41.30178588943661</v>
      </c>
      <c r="T29" s="482" t="n">
        <v>0.05190685604887678</v>
      </c>
      <c r="U29" s="482" t="n">
        <v>0.03874597962615006</v>
      </c>
      <c r="V29" s="482" t="n">
        <v>0.02625063410691698</v>
      </c>
      <c r="W29" s="482" t="n">
        <v>0.5365526675160485</v>
      </c>
      <c r="X29" s="482" t="n">
        <v>0.09603486037823634</v>
      </c>
      <c r="Y29" s="482" t="n">
        <v>0.2603029591110594</v>
      </c>
      <c r="Z29" s="482" t="n">
        <v>0.2603029591110595</v>
      </c>
      <c r="AA29" s="484" t="n">
        <v>0.06240396146647516</v>
      </c>
    </row>
    <row r="30" customFormat="1" s="138">
      <c r="A30" s="147" t="inlineStr">
        <is>
          <t>Electronics (General)</t>
        </is>
      </c>
      <c r="B30" s="268" t="n">
        <v>1481</v>
      </c>
      <c r="C30" s="482" t="n">
        <v>0.06761983578219538</v>
      </c>
      <c r="D30" s="482" t="n">
        <v>0.06285178727031872</v>
      </c>
      <c r="E30" s="482" t="n">
        <v>0.08238339577137488</v>
      </c>
      <c r="F30" s="482" t="n">
        <v>0.2069309978310537</v>
      </c>
      <c r="G30" s="483" t="n">
        <v>1.568504800835242</v>
      </c>
      <c r="H30" s="483" t="n">
        <v>1.598188009962662</v>
      </c>
      <c r="I30" s="482" t="n">
        <v>0.1294779849608979</v>
      </c>
      <c r="J30" s="482" t="n">
        <v>0.4437466205926912</v>
      </c>
      <c r="K30" s="482" t="n">
        <v>0.057772</v>
      </c>
      <c r="L30" s="482" t="n">
        <v>0.1241014389380188</v>
      </c>
      <c r="M30" s="482" t="n">
        <v>0.1187602444873785</v>
      </c>
      <c r="N30" s="483" t="n">
        <v>1.696701573690425</v>
      </c>
      <c r="O30" s="483" t="n">
        <v>2.228538017319137</v>
      </c>
      <c r="P30" s="483" t="n">
        <v>18.73319590271263</v>
      </c>
      <c r="Q30" s="483" t="n">
        <v>33.64228784866712</v>
      </c>
      <c r="R30" s="483" t="n">
        <v>3.321911464681992</v>
      </c>
      <c r="S30" s="483" t="n">
        <v>71.38356122051283</v>
      </c>
      <c r="T30" s="482" t="n">
        <v>0.1842233323915506</v>
      </c>
      <c r="U30" s="482" t="n">
        <v>0.0558990803782144</v>
      </c>
      <c r="V30" s="482" t="n">
        <v>0.03578329643912726</v>
      </c>
      <c r="W30" s="482" t="n">
        <v>1.076818856510423</v>
      </c>
      <c r="X30" s="482" t="n">
        <v>0.08833256233995526</v>
      </c>
      <c r="Y30" s="482" t="n">
        <v>0.473841378453791</v>
      </c>
      <c r="Z30" s="482" t="n">
        <v>0.473841378453791</v>
      </c>
      <c r="AA30" s="484" t="n">
        <v>0.06619619065040791</v>
      </c>
    </row>
    <row r="31" customFormat="1" s="138">
      <c r="A31" s="147" t="inlineStr">
        <is>
          <t>Engineering/Construction</t>
        </is>
      </c>
      <c r="B31" s="268" t="n">
        <v>1390</v>
      </c>
      <c r="C31" s="482" t="n">
        <v>0.1039016103379722</v>
      </c>
      <c r="D31" s="482" t="n">
        <v>0.05103313747408488</v>
      </c>
      <c r="E31" s="482" t="n">
        <v>0.07191370425530605</v>
      </c>
      <c r="F31" s="482" t="n">
        <v>0.2349389993321367</v>
      </c>
      <c r="G31" s="483" t="n">
        <v>0.7593173946857013</v>
      </c>
      <c r="H31" s="483" t="n">
        <v>1.001049199678247</v>
      </c>
      <c r="I31" s="482" t="n">
        <v>0.09585906994188534</v>
      </c>
      <c r="J31" s="482" t="n">
        <v>0.4013334266150131</v>
      </c>
      <c r="K31" s="482" t="n">
        <v>0.057772</v>
      </c>
      <c r="L31" s="482" t="n">
        <v>0.4335942318966762</v>
      </c>
      <c r="M31" s="482" t="n">
        <v>0.07298965107188389</v>
      </c>
      <c r="N31" s="483" t="n">
        <v>1.8622198609708</v>
      </c>
      <c r="O31" s="483" t="n">
        <v>0.8331417163904553</v>
      </c>
      <c r="P31" s="483" t="n">
        <v>11.25676178665598</v>
      </c>
      <c r="Q31" s="483" t="n">
        <v>15.73247701220291</v>
      </c>
      <c r="R31" s="483" t="n">
        <v>1.338797269929496</v>
      </c>
      <c r="S31" s="483" t="n">
        <v>54.77523881408556</v>
      </c>
      <c r="T31" s="482" t="n">
        <v>0.166742074480186</v>
      </c>
      <c r="U31" s="482" t="n">
        <v>0.03097633607529609</v>
      </c>
      <c r="V31" s="482" t="n">
        <v>0.02030391472809753</v>
      </c>
      <c r="W31" s="482" t="n">
        <v>1.334058187202646</v>
      </c>
      <c r="X31" s="482" t="n">
        <v>0.1038389635201734</v>
      </c>
      <c r="Y31" s="482" t="n">
        <v>0.5712975406127115</v>
      </c>
      <c r="Z31" s="482" t="n">
        <v>0.5712975406127115</v>
      </c>
      <c r="AA31" s="484" t="n">
        <v>0.05075448795180893</v>
      </c>
    </row>
    <row r="32" customFormat="1" s="138">
      <c r="A32" s="147" t="inlineStr">
        <is>
          <t>Entertainment</t>
        </is>
      </c>
      <c r="B32" s="268" t="n">
        <v>733</v>
      </c>
      <c r="C32" s="482" t="n">
        <v>0.09896481707317072</v>
      </c>
      <c r="D32" s="482" t="n">
        <v>0.1164367044875581</v>
      </c>
      <c r="E32" s="482" t="n">
        <v>0.1104082332093956</v>
      </c>
      <c r="F32" s="482" t="n">
        <v>0.1688580418309515</v>
      </c>
      <c r="G32" s="483" t="n">
        <v>0.9820773204991382</v>
      </c>
      <c r="H32" s="483" t="n">
        <v>1.01273062606517</v>
      </c>
      <c r="I32" s="482" t="n">
        <v>0.09651673424746908</v>
      </c>
      <c r="J32" s="482" t="n">
        <v>0.4754234283025113</v>
      </c>
      <c r="K32" s="482" t="n">
        <v>0.060013</v>
      </c>
      <c r="L32" s="482" t="n">
        <v>0.1129496356378006</v>
      </c>
      <c r="M32" s="482" t="n">
        <v>0.09067395889192645</v>
      </c>
      <c r="N32" s="483" t="n">
        <v>1.203186003702762</v>
      </c>
      <c r="O32" s="483" t="n">
        <v>4.086008084246441</v>
      </c>
      <c r="P32" s="483" t="n">
        <v>18.6510960197796</v>
      </c>
      <c r="Q32" s="483" t="n">
        <v>32.79646400983268</v>
      </c>
      <c r="R32" s="483" t="n">
        <v>3.879756392862385</v>
      </c>
      <c r="S32" s="483" t="n">
        <v>120.3947657867325</v>
      </c>
      <c r="T32" s="482" t="n">
        <v>0.02658281946959752</v>
      </c>
      <c r="U32" s="482" t="n">
        <v>0.04018002931143158</v>
      </c>
      <c r="V32" s="482" t="n">
        <v>-0.00351896915787122</v>
      </c>
      <c r="W32" s="482" t="n">
        <v>-0.05099055506765343</v>
      </c>
      <c r="X32" s="482" t="n">
        <v>0.05676629033718954</v>
      </c>
      <c r="Y32" s="482" t="n">
        <v>0.4972811127041215</v>
      </c>
      <c r="Z32" s="482" t="n">
        <v>0.4972811127041215</v>
      </c>
      <c r="AA32" s="484" t="n">
        <v>0.1165323567036004</v>
      </c>
    </row>
    <row r="33" customFormat="1" s="138">
      <c r="A33" s="147" t="inlineStr">
        <is>
          <t>Environmental &amp; Waste Services</t>
        </is>
      </c>
      <c r="B33" s="268" t="n">
        <v>397</v>
      </c>
      <c r="C33" s="482" t="n">
        <v>0.1231948739495799</v>
      </c>
      <c r="D33" s="482" t="n">
        <v>0.112732930985851</v>
      </c>
      <c r="E33" s="482" t="n">
        <v>0.104107262845173</v>
      </c>
      <c r="F33" s="482" t="n">
        <v>0.218857991266837</v>
      </c>
      <c r="G33" s="483" t="n">
        <v>0.9079972563351502</v>
      </c>
      <c r="H33" s="483" t="n">
        <v>1.101814896754947</v>
      </c>
      <c r="I33" s="482" t="n">
        <v>0.1015321786873035</v>
      </c>
      <c r="J33" s="482" t="n">
        <v>0.4397794475099763</v>
      </c>
      <c r="K33" s="482" t="n">
        <v>0.057772</v>
      </c>
      <c r="L33" s="482" t="n">
        <v>0.2630741066727338</v>
      </c>
      <c r="M33" s="482" t="n">
        <v>0.08616419567465208</v>
      </c>
      <c r="N33" s="483" t="n">
        <v>1.038750185764989</v>
      </c>
      <c r="O33" s="483" t="n">
        <v>2.939585935446154</v>
      </c>
      <c r="P33" s="483" t="n">
        <v>14.73594195663689</v>
      </c>
      <c r="Q33" s="483" t="n">
        <v>24.95585645173527</v>
      </c>
      <c r="R33" s="483" t="n">
        <v>3.230666262138519</v>
      </c>
      <c r="S33" s="483" t="n">
        <v>63.54047071947007</v>
      </c>
      <c r="T33" s="482" t="n">
        <v>0.1551603150452389</v>
      </c>
      <c r="U33" s="482" t="n">
        <v>0.08183814517197917</v>
      </c>
      <c r="V33" s="482" t="n">
        <v>0.08245893421818988</v>
      </c>
      <c r="W33" s="482" t="n">
        <v>1.164495900253167</v>
      </c>
      <c r="X33" s="482" t="n">
        <v>0.1015359987074659</v>
      </c>
      <c r="Y33" s="482" t="n">
        <v>0.4899190246652455</v>
      </c>
      <c r="Z33" s="482" t="n">
        <v>0.4899190246652455</v>
      </c>
      <c r="AA33" s="484" t="n">
        <v>0.1195259985384849</v>
      </c>
    </row>
    <row r="34" customFormat="1" s="138">
      <c r="A34" s="147" t="inlineStr">
        <is>
          <t>Farming/Agriculture</t>
        </is>
      </c>
      <c r="B34" s="268" t="n">
        <v>428</v>
      </c>
      <c r="C34" s="482" t="n">
        <v>0.1478062812500001</v>
      </c>
      <c r="D34" s="482" t="n">
        <v>0.06390944254858887</v>
      </c>
      <c r="E34" s="482" t="n">
        <v>0.06778885085649826</v>
      </c>
      <c r="F34" s="482" t="n">
        <v>0.2287472850503595</v>
      </c>
      <c r="G34" s="483" t="n">
        <v>0.4926714956404097</v>
      </c>
      <c r="H34" s="483" t="n">
        <v>0.6698983445718822</v>
      </c>
      <c r="I34" s="482" t="n">
        <v>0.07721527679939696</v>
      </c>
      <c r="J34" s="482" t="n">
        <v>0.3616680806301981</v>
      </c>
      <c r="K34" s="482" t="n">
        <v>0.057772</v>
      </c>
      <c r="L34" s="482" t="n">
        <v>0.3712300016556256</v>
      </c>
      <c r="M34" s="482" t="n">
        <v>0.06455632141832794</v>
      </c>
      <c r="N34" s="483" t="n">
        <v>1.297762187662093</v>
      </c>
      <c r="O34" s="483" t="n">
        <v>1.22078861958216</v>
      </c>
      <c r="P34" s="483" t="n">
        <v>12.90828233399416</v>
      </c>
      <c r="Q34" s="483" t="n">
        <v>18.57862663464822</v>
      </c>
      <c r="R34" s="483" t="n">
        <v>1.696640134676846</v>
      </c>
      <c r="S34" s="483" t="n">
        <v>48.07524004908791</v>
      </c>
      <c r="T34" s="482" t="n">
        <v>0.1853682224326317</v>
      </c>
      <c r="U34" s="482" t="n">
        <v>0.04075008846231119</v>
      </c>
      <c r="V34" s="482" t="n">
        <v>0.02736664559949343</v>
      </c>
      <c r="W34" s="482" t="n">
        <v>0.4068070075467013</v>
      </c>
      <c r="X34" s="482" t="n">
        <v>0.09833823007303287</v>
      </c>
      <c r="Y34" s="482" t="n">
        <v>0.444720779029448</v>
      </c>
      <c r="Z34" s="482" t="n">
        <v>0.4447207790294481</v>
      </c>
      <c r="AA34" s="484" t="n">
        <v>0.06495277549415406</v>
      </c>
    </row>
    <row r="35" customFormat="1" s="138">
      <c r="A35" s="147" t="inlineStr">
        <is>
          <t>Financial Svcs. (Non-bank &amp; Insurance)</t>
        </is>
      </c>
      <c r="B35" s="268" t="n">
        <v>1138</v>
      </c>
      <c r="C35" s="482" t="n">
        <v>0.1702458536585366</v>
      </c>
      <c r="D35" s="482" t="n">
        <v>0.1412558564710877</v>
      </c>
      <c r="E35" s="482" t="inlineStr">
        <is>
          <t>NA</t>
        </is>
      </c>
      <c r="F35" s="482" t="n">
        <v>0.1740499833727564</v>
      </c>
      <c r="G35" s="483" t="n">
        <v>0.2951148309916098</v>
      </c>
      <c r="H35" s="483" t="n">
        <v>0.8234879512698963</v>
      </c>
      <c r="I35" s="482" t="n">
        <v>0.08586237165649516</v>
      </c>
      <c r="J35" s="482" t="n">
        <v>0.4134446924749124</v>
      </c>
      <c r="K35" s="482" t="n">
        <v>0.057772</v>
      </c>
      <c r="L35" s="482" t="n">
        <v>0.7258880715059758</v>
      </c>
      <c r="M35" s="482" t="n">
        <v>0.05483274130914689</v>
      </c>
      <c r="N35" s="483" t="n">
        <v>0.09370829733743893</v>
      </c>
      <c r="O35" s="483" t="n">
        <v>13.71545649795927</v>
      </c>
      <c r="P35" s="483" t="n">
        <v>43.42140928005367</v>
      </c>
      <c r="Q35" s="483" t="n">
        <v>52.9149409569078</v>
      </c>
      <c r="R35" s="483" t="n">
        <v>2.378345302376829</v>
      </c>
      <c r="S35" s="483" t="n">
        <v>36.77969598617779</v>
      </c>
      <c r="T35" s="482" t="inlineStr">
        <is>
          <t>NA</t>
        </is>
      </c>
      <c r="U35" s="482" t="n">
        <v>0.03771431394118194</v>
      </c>
      <c r="V35" s="482" t="n">
        <v>0.01629781321843973</v>
      </c>
      <c r="W35" s="482" t="n">
        <v>0.1759084635186398</v>
      </c>
      <c r="X35" s="482" t="n">
        <v>0.1882546752702215</v>
      </c>
      <c r="Y35" s="482" t="n">
        <v>0.255992962917768</v>
      </c>
      <c r="Z35" s="482" t="n">
        <v>0.255992962917768</v>
      </c>
      <c r="AA35" s="484" t="n">
        <v>0.142886225713768</v>
      </c>
    </row>
    <row r="36" customFormat="1" s="138">
      <c r="A36" s="147" t="inlineStr">
        <is>
          <t>Food Processing</t>
        </is>
      </c>
      <c r="B36" s="268" t="n">
        <v>1450</v>
      </c>
      <c r="C36" s="482" t="n">
        <v>0.09651845656192226</v>
      </c>
      <c r="D36" s="482" t="n">
        <v>0.08535824839322913</v>
      </c>
      <c r="E36" s="482" t="n">
        <v>0.1197351007742026</v>
      </c>
      <c r="F36" s="482" t="n">
        <v>0.2251731326547388</v>
      </c>
      <c r="G36" s="483" t="n">
        <v>0.5602253462264254</v>
      </c>
      <c r="H36" s="483" t="n">
        <v>0.6737244514596056</v>
      </c>
      <c r="I36" s="482" t="n">
        <v>0.0774306866171758</v>
      </c>
      <c r="J36" s="482" t="n">
        <v>0.3390480091894392</v>
      </c>
      <c r="K36" s="482" t="n">
        <v>0.057772</v>
      </c>
      <c r="L36" s="482" t="n">
        <v>0.2706192052933248</v>
      </c>
      <c r="M36" s="482" t="n">
        <v>0.06814426869857931</v>
      </c>
      <c r="N36" s="483" t="n">
        <v>1.708537671031893</v>
      </c>
      <c r="O36" s="483" t="n">
        <v>1.343450791966096</v>
      </c>
      <c r="P36" s="483" t="n">
        <v>11.07207595956246</v>
      </c>
      <c r="Q36" s="483" t="n">
        <v>15.46010621208901</v>
      </c>
      <c r="R36" s="483" t="n">
        <v>2.190257255778186</v>
      </c>
      <c r="S36" s="483" t="n">
        <v>39.76722771221749</v>
      </c>
      <c r="T36" s="482" t="n">
        <v>0.1057001589800805</v>
      </c>
      <c r="U36" s="482" t="n">
        <v>0.04101074115112663</v>
      </c>
      <c r="V36" s="482" t="n">
        <v>0.020243842028248</v>
      </c>
      <c r="W36" s="482" t="n">
        <v>0.3775059181948979</v>
      </c>
      <c r="X36" s="482" t="n">
        <v>0.1054317206378861</v>
      </c>
      <c r="Y36" s="482" t="n">
        <v>0.7332611309237579</v>
      </c>
      <c r="Z36" s="482" t="n">
        <v>0.7332611309237579</v>
      </c>
      <c r="AA36" s="484" t="n">
        <v>0.08597031829761158</v>
      </c>
    </row>
    <row r="37" customFormat="1" s="138">
      <c r="A37" s="147" t="inlineStr">
        <is>
          <t>Food Wholesalers</t>
        </is>
      </c>
      <c r="B37" s="268" t="n">
        <v>183</v>
      </c>
      <c r="C37" s="482" t="n">
        <v>0.1756622307692307</v>
      </c>
      <c r="D37" s="482" t="n">
        <v>0.02541970227621734</v>
      </c>
      <c r="E37" s="482" t="n">
        <v>0.1067498761891389</v>
      </c>
      <c r="F37" s="482" t="n">
        <v>0.2413611068922022</v>
      </c>
      <c r="G37" s="483" t="n">
        <v>0.498877421978958</v>
      </c>
      <c r="H37" s="483" t="n">
        <v>0.6848175876595803</v>
      </c>
      <c r="I37" s="482" t="n">
        <v>0.07805523018523437</v>
      </c>
      <c r="J37" s="482" t="n">
        <v>0.3599066960126782</v>
      </c>
      <c r="K37" s="482" t="n">
        <v>0.057772</v>
      </c>
      <c r="L37" s="482" t="n">
        <v>0.3680625521577038</v>
      </c>
      <c r="M37" s="482" t="n">
        <v>0.06519512955031707</v>
      </c>
      <c r="N37" s="483" t="n">
        <v>5.170335656479948</v>
      </c>
      <c r="O37" s="483" t="n">
        <v>0.4063924519185299</v>
      </c>
      <c r="P37" s="483" t="n">
        <v>10.43092181418722</v>
      </c>
      <c r="Q37" s="483" t="n">
        <v>16.01070807716903</v>
      </c>
      <c r="R37" s="483" t="n">
        <v>2.487621710645108</v>
      </c>
      <c r="S37" s="483" t="n">
        <v>38.00458911901727</v>
      </c>
      <c r="T37" s="482" t="n">
        <v>0.06759840602004305</v>
      </c>
      <c r="U37" s="482" t="n">
        <v>0.01130231904660455</v>
      </c>
      <c r="V37" s="482" t="n">
        <v>0.01073617490963571</v>
      </c>
      <c r="W37" s="482" t="n">
        <v>1.048939318582029</v>
      </c>
      <c r="X37" s="482" t="n">
        <v>0.09739405369784865</v>
      </c>
      <c r="Y37" s="482" t="n">
        <v>0.5283159694484992</v>
      </c>
      <c r="Z37" s="482" t="n">
        <v>0.5283159694484992</v>
      </c>
      <c r="AA37" s="484" t="n">
        <v>0.02507900730798633</v>
      </c>
    </row>
    <row r="38" customFormat="1" s="138">
      <c r="A38" s="147" t="inlineStr">
        <is>
          <t>Furn/Home Furnishings</t>
        </is>
      </c>
      <c r="B38" s="268" t="n">
        <v>383</v>
      </c>
      <c r="C38" s="482" t="n">
        <v>0.05826565517241379</v>
      </c>
      <c r="D38" s="482" t="n">
        <v>0.076458433925367</v>
      </c>
      <c r="E38" s="482" t="n">
        <v>0.1260784988471352</v>
      </c>
      <c r="F38" s="482" t="n">
        <v>0.1763284839789386</v>
      </c>
      <c r="G38" s="483" t="n">
        <v>0.9383844270287286</v>
      </c>
      <c r="H38" s="483" t="n">
        <v>0.9675096670659729</v>
      </c>
      <c r="I38" s="482" t="n">
        <v>0.09397079425581428</v>
      </c>
      <c r="J38" s="482" t="n">
        <v>0.3731196108275466</v>
      </c>
      <c r="K38" s="482" t="n">
        <v>0.057772</v>
      </c>
      <c r="L38" s="482" t="n">
        <v>0.2046293511407485</v>
      </c>
      <c r="M38" s="482" t="n">
        <v>0.08356425592320954</v>
      </c>
      <c r="N38" s="483" t="n">
        <v>2.273002349840159</v>
      </c>
      <c r="O38" s="483" t="n">
        <v>1.159141960256098</v>
      </c>
      <c r="P38" s="483" t="n">
        <v>10.62640195735794</v>
      </c>
      <c r="Q38" s="483" t="n">
        <v>14.66164540245441</v>
      </c>
      <c r="R38" s="483" t="n">
        <v>2.148889072136155</v>
      </c>
      <c r="S38" s="483" t="n">
        <v>46.60816021283126</v>
      </c>
      <c r="T38" s="482" t="n">
        <v>0.06010427322295106</v>
      </c>
      <c r="U38" s="482" t="n">
        <v>0.0283344100436264</v>
      </c>
      <c r="V38" s="482" t="n">
        <v>0.02274023185208124</v>
      </c>
      <c r="W38" s="482" t="n">
        <v>0.3272142521796023</v>
      </c>
      <c r="X38" s="482" t="n">
        <v>0.124947171027375</v>
      </c>
      <c r="Y38" s="482" t="n">
        <v>0.6746806927166548</v>
      </c>
      <c r="Z38" s="482" t="n">
        <v>0.6746806927166548</v>
      </c>
      <c r="AA38" s="484" t="n">
        <v>0.07776380429490147</v>
      </c>
    </row>
    <row r="39" customFormat="1" s="138">
      <c r="A39" s="147" t="inlineStr">
        <is>
          <t>Green &amp; Renewable Energy</t>
        </is>
      </c>
      <c r="B39" s="268" t="n">
        <v>258</v>
      </c>
      <c r="C39" s="482" t="n">
        <v>0.1546570731707318</v>
      </c>
      <c r="D39" s="482" t="n">
        <v>0.2772088159427238</v>
      </c>
      <c r="E39" s="482" t="n">
        <v>0.0548972040319626</v>
      </c>
      <c r="F39" s="482" t="n">
        <v>0.1681657061498398</v>
      </c>
      <c r="G39" s="483" t="n">
        <v>0.5668002134281666</v>
      </c>
      <c r="H39" s="483" t="n">
        <v>0.8366528343155816</v>
      </c>
      <c r="I39" s="482" t="n">
        <v>0.08660355457196725</v>
      </c>
      <c r="J39" s="482" t="n">
        <v>0.3902568545143564</v>
      </c>
      <c r="K39" s="482" t="n">
        <v>0.057772</v>
      </c>
      <c r="L39" s="482" t="n">
        <v>0.4166701744197298</v>
      </c>
      <c r="M39" s="482" t="n">
        <v>0.06848327245405821</v>
      </c>
      <c r="N39" s="483" t="n">
        <v>0.2239401164051635</v>
      </c>
      <c r="O39" s="483" t="n">
        <v>7.384570471196588</v>
      </c>
      <c r="P39" s="483" t="n">
        <v>14.17483835680301</v>
      </c>
      <c r="Q39" s="483" t="n">
        <v>23.76529429542548</v>
      </c>
      <c r="R39" s="483" t="n">
        <v>1.856125230284903</v>
      </c>
      <c r="S39" s="483" t="n">
        <v>72.00057089561589</v>
      </c>
      <c r="T39" s="482" t="n">
        <v>0.1029291358638173</v>
      </c>
      <c r="U39" s="482" t="n">
        <v>0.5785158213395271</v>
      </c>
      <c r="V39" s="482" t="n">
        <v>0.4368291264852562</v>
      </c>
      <c r="W39" s="482" t="n">
        <v>2.109525998680986</v>
      </c>
      <c r="X39" s="482" t="n">
        <v>0.0557709775383633</v>
      </c>
      <c r="Y39" s="482" t="n">
        <v>1.094159291030623</v>
      </c>
      <c r="Z39" s="482" t="n">
        <v>1.094159291030623</v>
      </c>
      <c r="AA39" s="484" t="n">
        <v>0.2763581664366516</v>
      </c>
    </row>
    <row r="40" customFormat="1" s="138">
      <c r="A40" s="147" t="inlineStr">
        <is>
          <t>Healthcare Products</t>
        </is>
      </c>
      <c r="B40" s="268" t="n">
        <v>842</v>
      </c>
      <c r="C40" s="482" t="n">
        <v>0.1487204181818183</v>
      </c>
      <c r="D40" s="482" t="n">
        <v>0.1427490200458664</v>
      </c>
      <c r="E40" s="482" t="n">
        <v>0.1370039723966101</v>
      </c>
      <c r="F40" s="482" t="n">
        <v>0.1760815968571464</v>
      </c>
      <c r="G40" s="483" t="n">
        <v>1.116510298878523</v>
      </c>
      <c r="H40" s="483" t="n">
        <v>1.181953930030054</v>
      </c>
      <c r="I40" s="482" t="n">
        <v>0.106044006260692</v>
      </c>
      <c r="J40" s="482" t="n">
        <v>0.4839016842739212</v>
      </c>
      <c r="K40" s="482" t="n">
        <v>0.060013</v>
      </c>
      <c r="L40" s="482" t="n">
        <v>0.1217394200592536</v>
      </c>
      <c r="M40" s="482" t="n">
        <v>0.09858669929284825</v>
      </c>
      <c r="N40" s="483" t="n">
        <v>1.29793712995898</v>
      </c>
      <c r="O40" s="483" t="n">
        <v>4.172189416209838</v>
      </c>
      <c r="P40" s="483" t="n">
        <v>18.54920460669446</v>
      </c>
      <c r="Q40" s="483" t="n">
        <v>28.09761418039386</v>
      </c>
      <c r="R40" s="483" t="n">
        <v>3.530957067275591</v>
      </c>
      <c r="S40" s="483" t="n">
        <v>86.01262097813844</v>
      </c>
      <c r="T40" s="482" t="n">
        <v>0.2674855667712721</v>
      </c>
      <c r="U40" s="482" t="n">
        <v>0.04842056452247467</v>
      </c>
      <c r="V40" s="482" t="n">
        <v>0.04025048844249895</v>
      </c>
      <c r="W40" s="482" t="n">
        <v>0.4914119233125671</v>
      </c>
      <c r="X40" s="482" t="n">
        <v>0.09063329402422651</v>
      </c>
      <c r="Y40" s="482" t="n">
        <v>0.4763395626831705</v>
      </c>
      <c r="Z40" s="482" t="n">
        <v>0.4763395626831706</v>
      </c>
      <c r="AA40" s="484" t="n">
        <v>0.1478429672712751</v>
      </c>
    </row>
    <row r="41" customFormat="1" s="138">
      <c r="A41" s="147" t="inlineStr">
        <is>
          <t>Healthcare Support Services</t>
        </is>
      </c>
      <c r="B41" s="268" t="n">
        <v>478</v>
      </c>
      <c r="C41" s="482" t="n">
        <v>0.09901601351351355</v>
      </c>
      <c r="D41" s="482" t="n">
        <v>0.03103276162562591</v>
      </c>
      <c r="E41" s="482" t="n">
        <v>0.2071533077572603</v>
      </c>
      <c r="F41" s="482" t="n">
        <v>0.2372986647503187</v>
      </c>
      <c r="G41" s="483" t="n">
        <v>0.7786715730650319</v>
      </c>
      <c r="H41" s="483" t="n">
        <v>0.916558867242304</v>
      </c>
      <c r="I41" s="482" t="n">
        <v>0.09110226422574172</v>
      </c>
      <c r="J41" s="482" t="n">
        <v>0.4240259110678302</v>
      </c>
      <c r="K41" s="482" t="n">
        <v>0.057772</v>
      </c>
      <c r="L41" s="482" t="n">
        <v>0.2760246029582183</v>
      </c>
      <c r="M41" s="482" t="n">
        <v>0.07785666591037353</v>
      </c>
      <c r="N41" s="483" t="n">
        <v>8.01749031695431</v>
      </c>
      <c r="O41" s="483" t="n">
        <v>0.4902307572418489</v>
      </c>
      <c r="P41" s="483" t="n">
        <v>11.28749654921444</v>
      </c>
      <c r="Q41" s="483" t="n">
        <v>15.30677530638024</v>
      </c>
      <c r="R41" s="483" t="n">
        <v>2.305915705654942</v>
      </c>
      <c r="S41" s="483" t="n">
        <v>96.39308012218274</v>
      </c>
      <c r="T41" s="482" t="n">
        <v>-0.02545612284791271</v>
      </c>
      <c r="U41" s="482" t="n">
        <v>0.006987445867613066</v>
      </c>
      <c r="V41" s="482" t="n">
        <v>0.007949035549248314</v>
      </c>
      <c r="W41" s="482" t="n">
        <v>0.5120369657965202</v>
      </c>
      <c r="X41" s="482" t="n">
        <v>0.08491605062057049</v>
      </c>
      <c r="Y41" s="482" t="n">
        <v>0.538847728322184</v>
      </c>
      <c r="Z41" s="482" t="n">
        <v>0.538847728322184</v>
      </c>
      <c r="AA41" s="484" t="n">
        <v>0.03113975705760709</v>
      </c>
    </row>
    <row r="42" customFormat="1" s="138">
      <c r="A42" s="147" t="inlineStr">
        <is>
          <t>Heathcare Information and Technology</t>
        </is>
      </c>
      <c r="B42" s="268" t="n">
        <v>430</v>
      </c>
      <c r="C42" s="482" t="n">
        <v>0.1298355252918289</v>
      </c>
      <c r="D42" s="482" t="n">
        <v>0.1478785625462087</v>
      </c>
      <c r="E42" s="482" t="n">
        <v>0.1254007836372798</v>
      </c>
      <c r="F42" s="482" t="n">
        <v>0.169746733393435</v>
      </c>
      <c r="G42" s="483" t="n">
        <v>1.207249439882182</v>
      </c>
      <c r="H42" s="483" t="n">
        <v>1.289920212997853</v>
      </c>
      <c r="I42" s="482" t="n">
        <v>0.1121225079917791</v>
      </c>
      <c r="J42" s="482" t="n">
        <v>0.5435311570366956</v>
      </c>
      <c r="K42" s="482" t="n">
        <v>0.060013</v>
      </c>
      <c r="L42" s="482" t="n">
        <v>0.1224871037195609</v>
      </c>
      <c r="M42" s="482" t="n">
        <v>0.1038748626140789</v>
      </c>
      <c r="N42" s="483" t="n">
        <v>1.086017834442093</v>
      </c>
      <c r="O42" s="483" t="n">
        <v>5.322439521482191</v>
      </c>
      <c r="P42" s="483" t="n">
        <v>20.95699362062974</v>
      </c>
      <c r="Q42" s="483" t="n">
        <v>33.85826118783636</v>
      </c>
      <c r="R42" s="483" t="n">
        <v>3.867002275955683</v>
      </c>
      <c r="S42" s="483" t="n">
        <v>321.7983479015028</v>
      </c>
      <c r="T42" s="482" t="n">
        <v>0.2436388625644416</v>
      </c>
      <c r="U42" s="482" t="n">
        <v>0.0670810322624049</v>
      </c>
      <c r="V42" s="482" t="n">
        <v>0.03649218682195308</v>
      </c>
      <c r="W42" s="482" t="n">
        <v>0.3842582577216607</v>
      </c>
      <c r="X42" s="482" t="n">
        <v>0.07934450832537844</v>
      </c>
      <c r="Y42" s="482" t="n">
        <v>0.1919090959935171</v>
      </c>
      <c r="Z42" s="482" t="n">
        <v>0.1919090959935171</v>
      </c>
      <c r="AA42" s="484" t="n">
        <v>0.1495091624733798</v>
      </c>
    </row>
    <row r="43" customFormat="1" s="138">
      <c r="A43" s="147" t="inlineStr">
        <is>
          <t>Homebuilding</t>
        </is>
      </c>
      <c r="B43" s="268" t="n">
        <v>160</v>
      </c>
      <c r="C43" s="482" t="n">
        <v>0.07172586466165419</v>
      </c>
      <c r="D43" s="482" t="n">
        <v>0.1071429289258849</v>
      </c>
      <c r="E43" s="482" t="n">
        <v>0.10363608542706</v>
      </c>
      <c r="F43" s="482" t="n">
        <v>0.2479057113920095</v>
      </c>
      <c r="G43" s="483" t="n">
        <v>0.8223996026589195</v>
      </c>
      <c r="H43" s="483" t="n">
        <v>0.9602309512811922</v>
      </c>
      <c r="I43" s="482" t="n">
        <v>0.09356100255713112</v>
      </c>
      <c r="J43" s="482" t="n">
        <v>0.3237403309830183</v>
      </c>
      <c r="K43" s="482" t="n">
        <v>0.057772</v>
      </c>
      <c r="L43" s="482" t="n">
        <v>0.285208071429653</v>
      </c>
      <c r="M43" s="482" t="n">
        <v>0.07917346493316262</v>
      </c>
      <c r="N43" s="483" t="n">
        <v>1.269298555414893</v>
      </c>
      <c r="O43" s="483" t="n">
        <v>1.142054296977896</v>
      </c>
      <c r="P43" s="483" t="n">
        <v>9.429707449467426</v>
      </c>
      <c r="Q43" s="483" t="n">
        <v>11.07266496689942</v>
      </c>
      <c r="R43" s="483" t="n">
        <v>1.364995842409945</v>
      </c>
      <c r="S43" s="483" t="n">
        <v>23.78670737589014</v>
      </c>
      <c r="T43" s="482" t="n">
        <v>0.6733095438039169</v>
      </c>
      <c r="U43" s="482" t="n">
        <v>0.005721484518663204</v>
      </c>
      <c r="V43" s="482" t="n">
        <v>0.005718924745036525</v>
      </c>
      <c r="W43" s="482" t="n">
        <v>0.4989447413284082</v>
      </c>
      <c r="X43" s="482" t="n">
        <v>0.1146515057283435</v>
      </c>
      <c r="Y43" s="482" t="n">
        <v>0.2439730014901416</v>
      </c>
      <c r="Z43" s="482" t="n">
        <v>0.2439730014901416</v>
      </c>
      <c r="AA43" s="484" t="n">
        <v>0.1019099235748424</v>
      </c>
    </row>
    <row r="44" customFormat="1" s="138">
      <c r="A44" s="147" t="inlineStr">
        <is>
          <t>Hospitals/Healthcare Facilities</t>
        </is>
      </c>
      <c r="B44" s="268" t="n">
        <v>249</v>
      </c>
      <c r="C44" s="482" t="n">
        <v>0.1425727380952381</v>
      </c>
      <c r="D44" s="482" t="n">
        <v>0.1226799969512325</v>
      </c>
      <c r="E44" s="482" t="n">
        <v>0.1320980263575953</v>
      </c>
      <c r="F44" s="482" t="n">
        <v>0.2044474188227856</v>
      </c>
      <c r="G44" s="483" t="n">
        <v>0.5838514857400334</v>
      </c>
      <c r="H44" s="483" t="n">
        <v>0.7601799253122585</v>
      </c>
      <c r="I44" s="482" t="n">
        <v>0.08229812979508017</v>
      </c>
      <c r="J44" s="482" t="n">
        <v>0.3600062293515836</v>
      </c>
      <c r="K44" s="482" t="n">
        <v>0.057772</v>
      </c>
      <c r="L44" s="482" t="n">
        <v>0.3177943471305495</v>
      </c>
      <c r="M44" s="482" t="n">
        <v>0.06984603005802403</v>
      </c>
      <c r="N44" s="483" t="n">
        <v>1.36360376102938</v>
      </c>
      <c r="O44" s="483" t="n">
        <v>2.13397603628438</v>
      </c>
      <c r="P44" s="483" t="n">
        <v>11.88770948710414</v>
      </c>
      <c r="Q44" s="483" t="n">
        <v>17.79832093020747</v>
      </c>
      <c r="R44" s="483" t="n">
        <v>3.549656130590896</v>
      </c>
      <c r="S44" s="483" t="n">
        <v>46.0551864358089</v>
      </c>
      <c r="T44" s="482" t="n">
        <v>0.05674738642804298</v>
      </c>
      <c r="U44" s="482" t="n">
        <v>0.06792171995934521</v>
      </c>
      <c r="V44" s="482" t="n">
        <v>0.03270215678281329</v>
      </c>
      <c r="W44" s="482" t="n">
        <v>0.3636210592315013</v>
      </c>
      <c r="X44" s="482" t="n">
        <v>0.176430067395812</v>
      </c>
      <c r="Y44" s="482" t="n">
        <v>0.2711785370680543</v>
      </c>
      <c r="Z44" s="482" t="n">
        <v>0.2711785370680543</v>
      </c>
      <c r="AA44" s="484" t="n">
        <v>0.1191136871117844</v>
      </c>
    </row>
    <row r="45" customFormat="1" s="138">
      <c r="A45" s="147" t="inlineStr">
        <is>
          <t>Hotel/Gaming</t>
        </is>
      </c>
      <c r="B45" s="268" t="n">
        <v>656</v>
      </c>
      <c r="C45" s="482" t="n">
        <v>0.1838084435797666</v>
      </c>
      <c r="D45" s="482" t="n">
        <v>0.1666410977658608</v>
      </c>
      <c r="E45" s="482" t="n">
        <v>0.1180460274485128</v>
      </c>
      <c r="F45" s="482" t="n">
        <v>0.1899396884002356</v>
      </c>
      <c r="G45" s="483" t="n">
        <v>0.6562244487273435</v>
      </c>
      <c r="H45" s="483" t="n">
        <v>0.7984302381267229</v>
      </c>
      <c r="I45" s="482" t="n">
        <v>0.0844516224065345</v>
      </c>
      <c r="J45" s="482" t="n">
        <v>0.3927390282657112</v>
      </c>
      <c r="K45" s="482" t="n">
        <v>0.057772</v>
      </c>
      <c r="L45" s="482" t="n">
        <v>0.2869376534377079</v>
      </c>
      <c r="M45" s="482" t="n">
        <v>0.0725906588701753</v>
      </c>
      <c r="N45" s="483" t="n">
        <v>0.9417314184899619</v>
      </c>
      <c r="O45" s="483" t="n">
        <v>3.448704120391985</v>
      </c>
      <c r="P45" s="483" t="n">
        <v>13.86818190370077</v>
      </c>
      <c r="Q45" s="483" t="n">
        <v>22.12256323797384</v>
      </c>
      <c r="R45" s="483" t="n">
        <v>4.537440166121335</v>
      </c>
      <c r="S45" s="483" t="n">
        <v>74.50115923853168</v>
      </c>
      <c r="T45" s="482" t="n">
        <v>-0.03702564299535631</v>
      </c>
      <c r="U45" s="482" t="n">
        <v>0.07065902234509337</v>
      </c>
      <c r="V45" s="482" t="n">
        <v>0.01942009275914114</v>
      </c>
      <c r="W45" s="482" t="n">
        <v>0.2244340032537571</v>
      </c>
      <c r="X45" s="482" t="n">
        <v>0.1895304907236166</v>
      </c>
      <c r="Y45" s="482" t="n">
        <v>0.3670202401997748</v>
      </c>
      <c r="Z45" s="482" t="n">
        <v>0.3670202401997749</v>
      </c>
      <c r="AA45" s="484" t="n">
        <v>0.1559741135303765</v>
      </c>
    </row>
    <row r="46" customFormat="1" s="138">
      <c r="A46" s="147" t="inlineStr">
        <is>
          <t>Household Products</t>
        </is>
      </c>
      <c r="B46" s="268" t="n">
        <v>588</v>
      </c>
      <c r="C46" s="482" t="n">
        <v>0.0821528092783505</v>
      </c>
      <c r="D46" s="482" t="n">
        <v>0.1617188816212583</v>
      </c>
      <c r="E46" s="482" t="n">
        <v>0.2308067613801786</v>
      </c>
      <c r="F46" s="482" t="n">
        <v>0.2356972431552591</v>
      </c>
      <c r="G46" s="483" t="n">
        <v>0.7741444240060512</v>
      </c>
      <c r="H46" s="483" t="n">
        <v>0.8301058978401478</v>
      </c>
      <c r="I46" s="482" t="n">
        <v>0.08623496204840032</v>
      </c>
      <c r="J46" s="482" t="n">
        <v>0.4041766294960196</v>
      </c>
      <c r="K46" s="482" t="n">
        <v>0.057772</v>
      </c>
      <c r="L46" s="482" t="n">
        <v>0.1355027587052499</v>
      </c>
      <c r="M46" s="482" t="n">
        <v>0.08039212124404843</v>
      </c>
      <c r="N46" s="483" t="n">
        <v>1.793671051363207</v>
      </c>
      <c r="O46" s="483" t="n">
        <v>2.902357734200703</v>
      </c>
      <c r="P46" s="483" t="n">
        <v>14.55548489023277</v>
      </c>
      <c r="Q46" s="483" t="n">
        <v>17.73863622619547</v>
      </c>
      <c r="R46" s="483" t="n">
        <v>4.625730847103978</v>
      </c>
      <c r="S46" s="483" t="n">
        <v>68.84767078463793</v>
      </c>
      <c r="T46" s="482" t="n">
        <v>0.05926111688080881</v>
      </c>
      <c r="U46" s="482" t="n">
        <v>0.03852638846958889</v>
      </c>
      <c r="V46" s="482" t="n">
        <v>0.02191768875367988</v>
      </c>
      <c r="W46" s="482" t="n">
        <v>0.2369849371228157</v>
      </c>
      <c r="X46" s="482" t="n">
        <v>0.1801487322441188</v>
      </c>
      <c r="Y46" s="482" t="n">
        <v>0.7241868886567718</v>
      </c>
      <c r="Z46" s="482" t="n">
        <v>0.7241868886567718</v>
      </c>
      <c r="AA46" s="484" t="n">
        <v>0.1633675208620169</v>
      </c>
    </row>
    <row r="47" customFormat="1" s="138">
      <c r="A47" s="147" t="inlineStr">
        <is>
          <t>Information Services</t>
        </is>
      </c>
      <c r="B47" s="268" t="n">
        <v>86</v>
      </c>
      <c r="C47" s="482" t="n">
        <v>0.1051593220338983</v>
      </c>
      <c r="D47" s="482" t="n">
        <v>0.1178327537902393</v>
      </c>
      <c r="E47" s="482" t="n">
        <v>0.2281348400529763</v>
      </c>
      <c r="F47" s="482" t="n">
        <v>0.2568912617717469</v>
      </c>
      <c r="G47" s="483" t="n">
        <v>0.8737359462659163</v>
      </c>
      <c r="H47" s="483" t="n">
        <v>1.023720593319527</v>
      </c>
      <c r="I47" s="482" t="n">
        <v>0.09713546940388937</v>
      </c>
      <c r="J47" s="482" t="n">
        <v>0.3800278673746824</v>
      </c>
      <c r="K47" s="482" t="n">
        <v>0.057772</v>
      </c>
      <c r="L47" s="482" t="n">
        <v>0.242311019702493</v>
      </c>
      <c r="M47" s="482" t="n">
        <v>0.08404577340479001</v>
      </c>
      <c r="N47" s="483" t="n">
        <v>2.713108882623942</v>
      </c>
      <c r="O47" s="483" t="n">
        <v>1.88271785081681</v>
      </c>
      <c r="P47" s="483" t="n">
        <v>10.76973215402788</v>
      </c>
      <c r="Q47" s="483" t="n">
        <v>15.45029291856859</v>
      </c>
      <c r="R47" s="483" t="n">
        <v>3.285100978683044</v>
      </c>
      <c r="S47" s="483" t="n">
        <v>36.7469854080561</v>
      </c>
      <c r="T47" s="482" t="n">
        <v>0.1412294812002468</v>
      </c>
      <c r="U47" s="482" t="n">
        <v>0.0189289766159155</v>
      </c>
      <c r="V47" s="482" t="n">
        <v>-0.01589794213067469</v>
      </c>
      <c r="W47" s="482" t="n">
        <v>-0.1629084953968142</v>
      </c>
      <c r="X47" s="482" t="n">
        <v>0.1454776579817487</v>
      </c>
      <c r="Y47" s="482" t="n">
        <v>0.3744722012648146</v>
      </c>
      <c r="Z47" s="482" t="n">
        <v>0.3744722012648146</v>
      </c>
      <c r="AA47" s="484" t="n">
        <v>0.1176131918536692</v>
      </c>
    </row>
    <row r="48" customFormat="1" s="138">
      <c r="A48" s="147" t="inlineStr">
        <is>
          <t>Insurance (General)</t>
        </is>
      </c>
      <c r="B48" s="268" t="n">
        <v>204</v>
      </c>
      <c r="C48" s="482" t="n">
        <v>0.1140136363636364</v>
      </c>
      <c r="D48" s="482" t="n">
        <v>0.1544565709060728</v>
      </c>
      <c r="E48" s="482" t="n">
        <v>0.2562397661707816</v>
      </c>
      <c r="F48" s="482" t="n">
        <v>0.2486677540953519</v>
      </c>
      <c r="G48" s="483" t="n">
        <v>0.4730782196000951</v>
      </c>
      <c r="H48" s="483" t="n">
        <v>0.5102355818446773</v>
      </c>
      <c r="I48" s="482" t="n">
        <v>0.06822626325785533</v>
      </c>
      <c r="J48" s="482" t="n">
        <v>0.3198938619016569</v>
      </c>
      <c r="K48" s="482" t="n">
        <v>0.057772</v>
      </c>
      <c r="L48" s="482" t="n">
        <v>0.2311327737583772</v>
      </c>
      <c r="M48" s="482" t="n">
        <v>0.06242228363243409</v>
      </c>
      <c r="N48" s="483" t="n">
        <v>1.959911903724869</v>
      </c>
      <c r="O48" s="483" t="n">
        <v>1.563538529631204</v>
      </c>
      <c r="P48" s="483" t="n">
        <v>9.002254770293247</v>
      </c>
      <c r="Q48" s="483" t="n">
        <v>8.903954847142833</v>
      </c>
      <c r="R48" s="483" t="n">
        <v>2.218575772591184</v>
      </c>
      <c r="S48" s="483" t="n">
        <v>16.33114064211346</v>
      </c>
      <c r="T48" s="482" t="n">
        <v>0.1478833798869416</v>
      </c>
      <c r="U48" s="482" t="n">
        <v>0.007359622802426313</v>
      </c>
      <c r="V48" s="482" t="n">
        <v>0.05749445028865013</v>
      </c>
      <c r="W48" s="482" t="n">
        <v>0.4070754560020131</v>
      </c>
      <c r="X48" s="482" t="n">
        <v>0.1852572774797504</v>
      </c>
      <c r="Y48" s="482" t="n">
        <v>0.4133615891385334</v>
      </c>
      <c r="Z48" s="482" t="n">
        <v>0.4133615891385334</v>
      </c>
      <c r="AA48" s="484" t="n">
        <v>0.1546557547570544</v>
      </c>
    </row>
    <row r="49" customFormat="1" s="138">
      <c r="A49" s="147" t="inlineStr">
        <is>
          <t>Insurance (Life)</t>
        </is>
      </c>
      <c r="B49" s="268" t="n">
        <v>143</v>
      </c>
      <c r="C49" s="482" t="n">
        <v>0.06224316666666665</v>
      </c>
      <c r="D49" s="482" t="n">
        <v>0.1729247343541066</v>
      </c>
      <c r="E49" s="482" t="n">
        <v>0.1448200858349781</v>
      </c>
      <c r="F49" s="482" t="n">
        <v>0.1691078600693705</v>
      </c>
      <c r="G49" s="483" t="n">
        <v>0.7948484337173086</v>
      </c>
      <c r="H49" s="483" t="n">
        <v>0.8037813390844742</v>
      </c>
      <c r="I49" s="482" t="n">
        <v>0.0847528893904559</v>
      </c>
      <c r="J49" s="482" t="n">
        <v>0.3001301880998039</v>
      </c>
      <c r="K49" s="482" t="n">
        <v>0.057772</v>
      </c>
      <c r="L49" s="482" t="n">
        <v>0.4290115528367603</v>
      </c>
      <c r="M49" s="482" t="n">
        <v>0.06688985831342542</v>
      </c>
      <c r="N49" s="483" t="n">
        <v>1.011399529639498</v>
      </c>
      <c r="O49" s="483" t="n">
        <v>1.319461203274962</v>
      </c>
      <c r="P49" s="483" t="n">
        <v>7.32719050483297</v>
      </c>
      <c r="Q49" s="483" t="n">
        <v>7.522962961223579</v>
      </c>
      <c r="R49" s="483" t="n">
        <v>1.308116926097618</v>
      </c>
      <c r="S49" s="483" t="n">
        <v>75.31730470699814</v>
      </c>
      <c r="T49" s="482" t="n">
        <v>-1.018040173963089</v>
      </c>
      <c r="U49" s="482" t="n">
        <v>0.006953919461715558</v>
      </c>
      <c r="V49" s="482" t="n">
        <v>0.005709668457462526</v>
      </c>
      <c r="W49" s="482" t="n">
        <v>-0.4532154712304676</v>
      </c>
      <c r="X49" s="482" t="n">
        <v>0.1414991172245062</v>
      </c>
      <c r="Y49" s="482" t="n">
        <v>0.3655325271844408</v>
      </c>
      <c r="Z49" s="482" t="n">
        <v>0.3655325271844407</v>
      </c>
      <c r="AA49" s="484" t="n">
        <v>0.1730391837177779</v>
      </c>
    </row>
    <row r="50" customFormat="1" s="138">
      <c r="A50" s="147" t="inlineStr">
        <is>
          <t>Insurance (Prop/Cas.)</t>
        </is>
      </c>
      <c r="B50" s="268" t="n">
        <v>248</v>
      </c>
      <c r="C50" s="482" t="n">
        <v>0.1278221256038648</v>
      </c>
      <c r="D50" s="482" t="n">
        <v>0.152643124550992</v>
      </c>
      <c r="E50" s="482" t="n">
        <v>0.180546152442018</v>
      </c>
      <c r="F50" s="482" t="n">
        <v>0.2089171726875762</v>
      </c>
      <c r="G50" s="483" t="n">
        <v>0.4123714259312061</v>
      </c>
      <c r="H50" s="483" t="n">
        <v>0.4318265479631265</v>
      </c>
      <c r="I50" s="482" t="n">
        <v>0.06381183465032403</v>
      </c>
      <c r="J50" s="482" t="n">
        <v>0.2953601826804472</v>
      </c>
      <c r="K50" s="482" t="n">
        <v>0.054406</v>
      </c>
      <c r="L50" s="482" t="n">
        <v>0.1404264516326478</v>
      </c>
      <c r="M50" s="482" t="n">
        <v>0.06055272813020231</v>
      </c>
      <c r="N50" s="483" t="n">
        <v>1.46508599420259</v>
      </c>
      <c r="O50" s="483" t="n">
        <v>1.31748583187308</v>
      </c>
      <c r="P50" s="483" t="n">
        <v>7.815288923578121</v>
      </c>
      <c r="Q50" s="483" t="n">
        <v>8.577821890251895</v>
      </c>
      <c r="R50" s="483" t="n">
        <v>1.674418589034932</v>
      </c>
      <c r="S50" s="483" t="n">
        <v>20.50861943666401</v>
      </c>
      <c r="T50" s="482" t="n">
        <v>-0.25821112713536</v>
      </c>
      <c r="U50" s="482" t="n">
        <v>0.005768923714179278</v>
      </c>
      <c r="V50" s="482" t="n">
        <v>-0.004175679697348745</v>
      </c>
      <c r="W50" s="482" t="n">
        <v>-0.09463935520633932</v>
      </c>
      <c r="X50" s="482" t="n">
        <v>0.1715271449286769</v>
      </c>
      <c r="Y50" s="482" t="n">
        <v>0.2656094774789208</v>
      </c>
      <c r="Z50" s="482" t="n">
        <v>0.2656094774789208</v>
      </c>
      <c r="AA50" s="484" t="n">
        <v>0.1528516528079215</v>
      </c>
    </row>
    <row r="51" customFormat="1" s="138">
      <c r="A51" s="147" t="inlineStr">
        <is>
          <t>Investments &amp; Asset Management</t>
        </is>
      </c>
      <c r="B51" s="268" t="n">
        <v>1315</v>
      </c>
      <c r="C51" s="482" t="n">
        <v>0.1776110707456979</v>
      </c>
      <c r="D51" s="482" t="n">
        <v>0.2505039007771637</v>
      </c>
      <c r="E51" s="482" t="n">
        <v>0.08295566505053059</v>
      </c>
      <c r="F51" s="482" t="n">
        <v>0.1755174687536206</v>
      </c>
      <c r="G51" s="483" t="n">
        <v>0.5657130541049615</v>
      </c>
      <c r="H51" s="483" t="n">
        <v>0.7483402046417704</v>
      </c>
      <c r="I51" s="482" t="n">
        <v>0.08163155352133167</v>
      </c>
      <c r="J51" s="482" t="n">
        <v>0.368566767701624</v>
      </c>
      <c r="K51" s="482" t="n">
        <v>0.057772</v>
      </c>
      <c r="L51" s="482" t="n">
        <v>0.3763208962856832</v>
      </c>
      <c r="M51" s="482" t="n">
        <v>0.06713706125011898</v>
      </c>
      <c r="N51" s="483" t="n">
        <v>0.3594515662703567</v>
      </c>
      <c r="O51" s="483" t="n">
        <v>5.44543410788268</v>
      </c>
      <c r="P51" s="483" t="n">
        <v>19.00230884512049</v>
      </c>
      <c r="Q51" s="483" t="n">
        <v>16.95457243875141</v>
      </c>
      <c r="R51" s="483" t="n">
        <v>1.748843295495176</v>
      </c>
      <c r="S51" s="483" t="n">
        <v>53.85228336720077</v>
      </c>
      <c r="T51" s="482" t="inlineStr">
        <is>
          <t>NA</t>
        </is>
      </c>
      <c r="U51" s="482" t="n">
        <v>0.04657453655800841</v>
      </c>
      <c r="V51" s="482" t="n">
        <v>0.1609929903255188</v>
      </c>
      <c r="W51" s="482" t="n">
        <v>0.9754716670600068</v>
      </c>
      <c r="X51" s="482" t="n">
        <v>0.1201379201054396</v>
      </c>
      <c r="Y51" s="482" t="n">
        <v>0.4950394316738594</v>
      </c>
      <c r="Z51" s="482" t="n">
        <v>0.4950394316738594</v>
      </c>
      <c r="AA51" s="484" t="n">
        <v>0.2495005025472503</v>
      </c>
    </row>
    <row r="52" customFormat="1" s="138">
      <c r="A52" s="147" t="inlineStr">
        <is>
          <t>Machinery</t>
        </is>
      </c>
      <c r="B52" s="268" t="n">
        <v>1553</v>
      </c>
      <c r="C52" s="482" t="n">
        <v>0.0867889780405405</v>
      </c>
      <c r="D52" s="482" t="n">
        <v>0.1035706020393325</v>
      </c>
      <c r="E52" s="482" t="n">
        <v>0.1183512000081834</v>
      </c>
      <c r="F52" s="482" t="n">
        <v>0.2216307080345536</v>
      </c>
      <c r="G52" s="483" t="n">
        <v>1.329621716102589</v>
      </c>
      <c r="H52" s="483" t="n">
        <v>1.369473758004885</v>
      </c>
      <c r="I52" s="482" t="n">
        <v>0.116601372575675</v>
      </c>
      <c r="J52" s="482" t="n">
        <v>0.4033993609586136</v>
      </c>
      <c r="K52" s="482" t="n">
        <v>0.057772</v>
      </c>
      <c r="L52" s="482" t="n">
        <v>0.1193748455379105</v>
      </c>
      <c r="M52" s="482" t="n">
        <v>0.1078289772800248</v>
      </c>
      <c r="N52" s="483" t="n">
        <v>1.480081280869955</v>
      </c>
      <c r="O52" s="483" t="n">
        <v>2.613749441799412</v>
      </c>
      <c r="P52" s="483" t="n">
        <v>16.88408979648814</v>
      </c>
      <c r="Q52" s="483" t="n">
        <v>23.60605876220991</v>
      </c>
      <c r="R52" s="483" t="n">
        <v>3.372396135020447</v>
      </c>
      <c r="S52" s="483" t="n">
        <v>88.38334357634362</v>
      </c>
      <c r="T52" s="482" t="n">
        <v>0.2912246230349467</v>
      </c>
      <c r="U52" s="482" t="n">
        <v>0.04054884962091269</v>
      </c>
      <c r="V52" s="482" t="n">
        <v>0.03371644595782169</v>
      </c>
      <c r="W52" s="482" t="n">
        <v>0.5450665774301707</v>
      </c>
      <c r="X52" s="482" t="n">
        <v>0.1090084207932606</v>
      </c>
      <c r="Y52" s="482" t="n">
        <v>0.4597891836305176</v>
      </c>
      <c r="Z52" s="482" t="n">
        <v>0.4597891836305177</v>
      </c>
      <c r="AA52" s="484" t="n">
        <v>0.1066197117537939</v>
      </c>
    </row>
    <row r="53" customFormat="1" s="138">
      <c r="A53" s="147" t="inlineStr">
        <is>
          <t>Metals &amp; Mining</t>
        </is>
      </c>
      <c r="B53" s="268" t="n">
        <v>1874</v>
      </c>
      <c r="C53" s="482" t="n">
        <v>0.2560405020080321</v>
      </c>
      <c r="D53" s="482" t="n">
        <v>0.1072536660140786</v>
      </c>
      <c r="E53" s="482" t="n">
        <v>0.1365780634266371</v>
      </c>
      <c r="F53" s="482" t="n">
        <v>0.2983873808489146</v>
      </c>
      <c r="G53" s="483" t="n">
        <v>1.125610404676817</v>
      </c>
      <c r="H53" s="483" t="n">
        <v>1.236271241649942</v>
      </c>
      <c r="I53" s="482" t="n">
        <v>0.1091020709048918</v>
      </c>
      <c r="J53" s="482" t="n">
        <v>0.747399263183578</v>
      </c>
      <c r="K53" s="482" t="n">
        <v>0.06729499999999999</v>
      </c>
      <c r="L53" s="482" t="n">
        <v>0.1872715117624454</v>
      </c>
      <c r="M53" s="482" t="n">
        <v>0.0980755594235385</v>
      </c>
      <c r="N53" s="483" t="n">
        <v>1.347302278602321</v>
      </c>
      <c r="O53" s="483" t="n">
        <v>1.843836632024247</v>
      </c>
      <c r="P53" s="483" t="n">
        <v>10.69072789917057</v>
      </c>
      <c r="Q53" s="483" t="n">
        <v>15.97824498422355</v>
      </c>
      <c r="R53" s="483" t="n">
        <v>2.566222582214006</v>
      </c>
      <c r="S53" s="483" t="n">
        <v>77.31381976818405</v>
      </c>
      <c r="T53" s="482" t="n">
        <v>0.1276850013196309</v>
      </c>
      <c r="U53" s="482" t="n">
        <v>0.08035282096273878</v>
      </c>
      <c r="V53" s="482" t="n">
        <v>0.05811134865465493</v>
      </c>
      <c r="W53" s="482" t="n">
        <v>0.9286706563035134</v>
      </c>
      <c r="X53" s="482" t="n">
        <v>0.09132386357996015</v>
      </c>
      <c r="Y53" s="482" t="n">
        <v>0.684747982051353</v>
      </c>
      <c r="Z53" s="482" t="n">
        <v>0.684747982051353</v>
      </c>
      <c r="AA53" s="484" t="n">
        <v>0.108869549778273</v>
      </c>
    </row>
    <row r="54" customFormat="1" s="138">
      <c r="A54" s="147" t="inlineStr">
        <is>
          <t>Office Equipment &amp; Services</t>
        </is>
      </c>
      <c r="B54" s="268" t="n">
        <v>139</v>
      </c>
      <c r="C54" s="482" t="n">
        <v>0.0466839175257732</v>
      </c>
      <c r="D54" s="482" t="n">
        <v>0.07728502336481427</v>
      </c>
      <c r="E54" s="482" t="n">
        <v>0.1261589716586438</v>
      </c>
      <c r="F54" s="482" t="n">
        <v>0.2546318191355781</v>
      </c>
      <c r="G54" s="483" t="n">
        <v>0.7113013935053746</v>
      </c>
      <c r="H54" s="483" t="n">
        <v>0.758696340294383</v>
      </c>
      <c r="I54" s="482" t="n">
        <v>0.08221460395857377</v>
      </c>
      <c r="J54" s="482" t="n">
        <v>0.3687223775672925</v>
      </c>
      <c r="K54" s="482" t="n">
        <v>0.057772</v>
      </c>
      <c r="L54" s="482" t="n">
        <v>0.2222073602372713</v>
      </c>
      <c r="M54" s="482" t="n">
        <v>0.07352643830632928</v>
      </c>
      <c r="N54" s="483" t="n">
        <v>2.088081417022934</v>
      </c>
      <c r="O54" s="483" t="n">
        <v>1.076846703493937</v>
      </c>
      <c r="P54" s="483" t="n">
        <v>9.1443038159521</v>
      </c>
      <c r="Q54" s="483" t="n">
        <v>13.48534383641658</v>
      </c>
      <c r="R54" s="483" t="n">
        <v>1.795084656002117</v>
      </c>
      <c r="S54" s="483" t="n">
        <v>24.58469601160549</v>
      </c>
      <c r="T54" s="482" t="n">
        <v>0.1500581725578792</v>
      </c>
      <c r="U54" s="482" t="n">
        <v>0.03248645194745103</v>
      </c>
      <c r="V54" s="482" t="n">
        <v>0.02549447358419409</v>
      </c>
      <c r="W54" s="482" t="n">
        <v>0.5985490652851968</v>
      </c>
      <c r="X54" s="482" t="n">
        <v>0.08738921521670599</v>
      </c>
      <c r="Y54" s="482" t="n">
        <v>0.6549135777017283</v>
      </c>
      <c r="Z54" s="482" t="n">
        <v>0.6549135777017283</v>
      </c>
      <c r="AA54" s="484" t="n">
        <v>0.07843995512360838</v>
      </c>
    </row>
    <row r="55" customFormat="1" s="138">
      <c r="A55" s="147" t="inlineStr">
        <is>
          <t>Oil/Gas (Integrated)</t>
        </is>
      </c>
      <c r="B55" s="268" t="n">
        <v>34</v>
      </c>
      <c r="C55" s="482" t="n">
        <v>0.1025588235294118</v>
      </c>
      <c r="D55" s="482" t="n">
        <v>0.1427195024574721</v>
      </c>
      <c r="E55" s="482" t="n">
        <v>0.1387668708403002</v>
      </c>
      <c r="F55" s="482" t="n">
        <v>0.4404764690253459</v>
      </c>
      <c r="G55" s="483" t="n">
        <v>0.6324676188577144</v>
      </c>
      <c r="H55" s="483" t="n">
        <v>0.6887330580062661</v>
      </c>
      <c r="I55" s="482" t="n">
        <v>0.07827567116575278</v>
      </c>
      <c r="J55" s="482" t="n">
        <v>0.2912473365496617</v>
      </c>
      <c r="K55" s="482" t="n">
        <v>0.054406</v>
      </c>
      <c r="L55" s="482" t="n">
        <v>0.1776435939953857</v>
      </c>
      <c r="M55" s="482" t="n">
        <v>0.07158339760236501</v>
      </c>
      <c r="N55" s="483" t="n">
        <v>1.368595975044083</v>
      </c>
      <c r="O55" s="483" t="n">
        <v>1.326182060868225</v>
      </c>
      <c r="P55" s="483" t="n">
        <v>6.181670856706194</v>
      </c>
      <c r="Q55" s="483" t="n">
        <v>9.250182366422518</v>
      </c>
      <c r="R55" s="483" t="n">
        <v>1.715098151907763</v>
      </c>
      <c r="S55" s="483" t="n">
        <v>15.6302735905156</v>
      </c>
      <c r="T55" s="482" t="n">
        <v>0.02536458947371485</v>
      </c>
      <c r="U55" s="482" t="n">
        <v>0.09039348401589577</v>
      </c>
      <c r="V55" s="482" t="n">
        <v>0.01756447464655019</v>
      </c>
      <c r="W55" s="482" t="n">
        <v>0.2493961690204361</v>
      </c>
      <c r="X55" s="482" t="n">
        <v>0.1220706575288003</v>
      </c>
      <c r="Y55" s="482" t="n">
        <v>0.7986886299016738</v>
      </c>
      <c r="Z55" s="482" t="n">
        <v>0.7986886299016738</v>
      </c>
      <c r="AA55" s="484" t="n">
        <v>0.1434387876516723</v>
      </c>
    </row>
    <row r="56" customFormat="1" s="138">
      <c r="A56" s="147" t="inlineStr">
        <is>
          <t>Oil/Gas (Production and Exploration)</t>
        </is>
      </c>
      <c r="B56" s="268" t="n">
        <v>539</v>
      </c>
      <c r="C56" s="482" t="n">
        <v>0.2248593442622951</v>
      </c>
      <c r="D56" s="482" t="n">
        <v>0.2850790324643108</v>
      </c>
      <c r="E56" s="482" t="n">
        <v>0.1486947592073008</v>
      </c>
      <c r="F56" s="482" t="n">
        <v>0.3505625301830368</v>
      </c>
      <c r="G56" s="483" t="n">
        <v>0.7463854591601625</v>
      </c>
      <c r="H56" s="483" t="n">
        <v>0.8855554675584711</v>
      </c>
      <c r="I56" s="482" t="n">
        <v>0.08935677282354193</v>
      </c>
      <c r="J56" s="482" t="n">
        <v>0.5391808905321575</v>
      </c>
      <c r="K56" s="482" t="n">
        <v>0.060013</v>
      </c>
      <c r="L56" s="482" t="n">
        <v>0.2637102090282841</v>
      </c>
      <c r="M56" s="482" t="n">
        <v>0.07760345381409826</v>
      </c>
      <c r="N56" s="483" t="n">
        <v>0.5727999587747761</v>
      </c>
      <c r="O56" s="483" t="n">
        <v>2.588774210580685</v>
      </c>
      <c r="P56" s="483" t="n">
        <v>4.836568561786052</v>
      </c>
      <c r="Q56" s="483" t="n">
        <v>8.925890687545323</v>
      </c>
      <c r="R56" s="483" t="n">
        <v>1.331446744410924</v>
      </c>
      <c r="S56" s="483" t="n">
        <v>28.76050090651914</v>
      </c>
      <c r="T56" s="482" t="n">
        <v>0.01140349860610814</v>
      </c>
      <c r="U56" s="482" t="n">
        <v>0.3368821341413744</v>
      </c>
      <c r="V56" s="482" t="n">
        <v>0.1852723552971094</v>
      </c>
      <c r="W56" s="482" t="n">
        <v>0.9266852280401071</v>
      </c>
      <c r="X56" s="482" t="n">
        <v>0.1180373297766762</v>
      </c>
      <c r="Y56" s="482" t="n">
        <v>0.5479196686085261</v>
      </c>
      <c r="Z56" s="482" t="n">
        <v>0.5479196686085261</v>
      </c>
      <c r="AA56" s="484" t="n">
        <v>0.2866696936022423</v>
      </c>
    </row>
    <row r="57" customFormat="1" s="138">
      <c r="A57" s="147" t="inlineStr">
        <is>
          <t>Oil/Gas Distribution</t>
        </is>
      </c>
      <c r="B57" s="268" t="n">
        <v>186</v>
      </c>
      <c r="C57" s="482" t="n">
        <v>0.09591255639097744</v>
      </c>
      <c r="D57" s="482" t="n">
        <v>0.1724183769141509</v>
      </c>
      <c r="E57" s="482" t="n">
        <v>0.09191073674979025</v>
      </c>
      <c r="F57" s="482" t="n">
        <v>0.1868280101231991</v>
      </c>
      <c r="G57" s="483" t="n">
        <v>0.4611542527144429</v>
      </c>
      <c r="H57" s="483" t="n">
        <v>0.6534778887963208</v>
      </c>
      <c r="I57" s="482" t="n">
        <v>0.07629080513923286</v>
      </c>
      <c r="J57" s="482" t="n">
        <v>0.3395738463112972</v>
      </c>
      <c r="K57" s="482" t="n">
        <v>0.057772</v>
      </c>
      <c r="L57" s="482" t="n">
        <v>0.3809583505341432</v>
      </c>
      <c r="M57" s="482" t="n">
        <v>0.06365229793720276</v>
      </c>
      <c r="N57" s="483" t="n">
        <v>0.6044436795549014</v>
      </c>
      <c r="O57" s="483" t="n">
        <v>3.053957393856666</v>
      </c>
      <c r="P57" s="483" t="n">
        <v>11.7825300059131</v>
      </c>
      <c r="Q57" s="483" t="n">
        <v>17.43060399517669</v>
      </c>
      <c r="R57" s="483" t="n">
        <v>2.098756899880173</v>
      </c>
      <c r="S57" s="483" t="n">
        <v>27.82939637220507</v>
      </c>
      <c r="T57" s="482" t="n">
        <v>0.02615113714667903</v>
      </c>
      <c r="U57" s="482" t="n">
        <v>0.1497779489177684</v>
      </c>
      <c r="V57" s="482" t="n">
        <v>0.1078359830182263</v>
      </c>
      <c r="W57" s="482" t="n">
        <v>0.7916266188320611</v>
      </c>
      <c r="X57" s="482" t="n">
        <v>0.1304519999296142</v>
      </c>
      <c r="Y57" s="482" t="n">
        <v>0.8179301668109624</v>
      </c>
      <c r="Z57" s="482" t="n">
        <v>0.8179301668109624</v>
      </c>
      <c r="AA57" s="484" t="n">
        <v>0.173375232423339</v>
      </c>
    </row>
    <row r="58" customFormat="1" s="138">
      <c r="A58" s="147" t="inlineStr">
        <is>
          <t>Oilfield Svcs/Equip.</t>
        </is>
      </c>
      <c r="B58" s="268" t="n">
        <v>431</v>
      </c>
      <c r="C58" s="482" t="n">
        <v>0.1160119692307692</v>
      </c>
      <c r="D58" s="482" t="n">
        <v>0.05007511671050164</v>
      </c>
      <c r="E58" s="482" t="n">
        <v>0.09059300961038078</v>
      </c>
      <c r="F58" s="482" t="n">
        <v>0.230261978404765</v>
      </c>
      <c r="G58" s="483" t="n">
        <v>0.7996508694362168</v>
      </c>
      <c r="H58" s="483" t="n">
        <v>0.9482360006929875</v>
      </c>
      <c r="I58" s="482" t="n">
        <v>0.0928856868390152</v>
      </c>
      <c r="J58" s="482" t="n">
        <v>0.4221380395376769</v>
      </c>
      <c r="K58" s="482" t="n">
        <v>0.057772</v>
      </c>
      <c r="L58" s="482" t="n">
        <v>0.2839911271754528</v>
      </c>
      <c r="M58" s="482" t="n">
        <v>0.07875132256354538</v>
      </c>
      <c r="N58" s="483" t="n">
        <v>2.098790572959693</v>
      </c>
      <c r="O58" s="483" t="n">
        <v>0.7598678616813682</v>
      </c>
      <c r="P58" s="483" t="n">
        <v>8.83033678983486</v>
      </c>
      <c r="Q58" s="483" t="n">
        <v>14.49330471440069</v>
      </c>
      <c r="R58" s="483" t="n">
        <v>1.542832887564483</v>
      </c>
      <c r="S58" s="483" t="n">
        <v>41.45206315808559</v>
      </c>
      <c r="T58" s="482" t="n">
        <v>0.05475148702676035</v>
      </c>
      <c r="U58" s="482" t="n">
        <v>0.04212744167478911</v>
      </c>
      <c r="V58" s="482" t="n">
        <v>0.02161046265163457</v>
      </c>
      <c r="W58" s="482" t="n">
        <v>0.2889662779820247</v>
      </c>
      <c r="X58" s="482" t="n">
        <v>0.08264223954822701</v>
      </c>
      <c r="Y58" s="482" t="n">
        <v>0.5555386573330025</v>
      </c>
      <c r="Z58" s="482" t="n">
        <v>0.5555386573330025</v>
      </c>
      <c r="AA58" s="484" t="n">
        <v>0.05089682251014169</v>
      </c>
    </row>
    <row r="59" customFormat="1" s="138">
      <c r="A59" s="147" t="inlineStr">
        <is>
          <t>Packaging &amp; Container</t>
        </is>
      </c>
      <c r="B59" s="268" t="n">
        <v>438</v>
      </c>
      <c r="C59" s="482" t="n">
        <v>0.07855668674698799</v>
      </c>
      <c r="D59" s="482" t="n">
        <v>0.07836014453145154</v>
      </c>
      <c r="E59" s="482" t="n">
        <v>0.09283256980080849</v>
      </c>
      <c r="F59" s="482" t="n">
        <v>0.2325542111173233</v>
      </c>
      <c r="G59" s="483" t="n">
        <v>0.5755524439641465</v>
      </c>
      <c r="H59" s="483" t="n">
        <v>0.7591351325704163</v>
      </c>
      <c r="I59" s="482" t="n">
        <v>0.08223930796371444</v>
      </c>
      <c r="J59" s="482" t="n">
        <v>0.3441170723962298</v>
      </c>
      <c r="K59" s="482" t="n">
        <v>0.057772</v>
      </c>
      <c r="L59" s="482" t="n">
        <v>0.3448933033517668</v>
      </c>
      <c r="M59" s="482" t="n">
        <v>0.06874568016476583</v>
      </c>
      <c r="N59" s="483" t="n">
        <v>1.425153303986407</v>
      </c>
      <c r="O59" s="483" t="n">
        <v>1.379575421403549</v>
      </c>
      <c r="P59" s="483" t="n">
        <v>9.56236673989638</v>
      </c>
      <c r="Q59" s="483" t="n">
        <v>17.04124353827975</v>
      </c>
      <c r="R59" s="483" t="n">
        <v>1.618618810997878</v>
      </c>
      <c r="S59" s="483" t="n">
        <v>38.91205773134371</v>
      </c>
      <c r="T59" s="482" t="n">
        <v>0.1566224380368694</v>
      </c>
      <c r="U59" s="482" t="n">
        <v>0.06065347398403471</v>
      </c>
      <c r="V59" s="482" t="n">
        <v>0.03961362687554106</v>
      </c>
      <c r="W59" s="482" t="n">
        <v>0.8428262894473342</v>
      </c>
      <c r="X59" s="482" t="n">
        <v>0.0857993848522087</v>
      </c>
      <c r="Y59" s="482" t="n">
        <v>0.6606012133963671</v>
      </c>
      <c r="Z59" s="482" t="n">
        <v>0.6606012133963671</v>
      </c>
      <c r="AA59" s="484" t="n">
        <v>0.08000325914846797</v>
      </c>
    </row>
    <row r="60" customFormat="1" s="138">
      <c r="A60" s="147" t="inlineStr">
        <is>
          <t>Paper/Forest Products</t>
        </is>
      </c>
      <c r="B60" s="268" t="n">
        <v>271</v>
      </c>
      <c r="C60" s="482" t="n">
        <v>0.06921285714285713</v>
      </c>
      <c r="D60" s="482" t="n">
        <v>0.04296567190544347</v>
      </c>
      <c r="E60" s="482" t="n">
        <v>0.02912813212669578</v>
      </c>
      <c r="F60" s="482" t="n">
        <v>0.222557661304891</v>
      </c>
      <c r="G60" s="483" t="n">
        <v>0.6106540110372702</v>
      </c>
      <c r="H60" s="483" t="n">
        <v>0.8886903362780022</v>
      </c>
      <c r="I60" s="482" t="n">
        <v>0.08953326593245153</v>
      </c>
      <c r="J60" s="482" t="n">
        <v>0.3675102153784272</v>
      </c>
      <c r="K60" s="482" t="n">
        <v>0.057772</v>
      </c>
      <c r="L60" s="482" t="n">
        <v>0.4384570945703326</v>
      </c>
      <c r="M60" s="482" t="n">
        <v>0.06918095472486402</v>
      </c>
      <c r="N60" s="483" t="n">
        <v>0.7936488736303247</v>
      </c>
      <c r="O60" s="483" t="n">
        <v>1.304331257707689</v>
      </c>
      <c r="P60" s="483" t="n">
        <v>10.47905022235367</v>
      </c>
      <c r="Q60" s="483" t="n">
        <v>28.66267022415286</v>
      </c>
      <c r="R60" s="483" t="n">
        <v>0.935247487996876</v>
      </c>
      <c r="S60" s="483" t="n">
        <v>149.2450269479038</v>
      </c>
      <c r="T60" s="482" t="n">
        <v>0.1755412575561123</v>
      </c>
      <c r="U60" s="482" t="n">
        <v>0.09364704765360626</v>
      </c>
      <c r="V60" s="482" t="n">
        <v>0.04389906097828049</v>
      </c>
      <c r="W60" s="482" t="n">
        <v>1.372986994776379</v>
      </c>
      <c r="X60" s="482" t="n">
        <v>0.01764148774776679</v>
      </c>
      <c r="Y60" s="482" t="n">
        <v>2.059529543224148</v>
      </c>
      <c r="Z60" s="482" t="n">
        <v>2.059529543224148</v>
      </c>
      <c r="AA60" s="484" t="n">
        <v>0.04263388843207364</v>
      </c>
    </row>
    <row r="61" customFormat="1" s="138">
      <c r="A61" s="147" t="inlineStr">
        <is>
          <t>Power</t>
        </is>
      </c>
      <c r="B61" s="268" t="n">
        <v>486</v>
      </c>
      <c r="C61" s="482" t="n">
        <v>0.1015605727923628</v>
      </c>
      <c r="D61" s="482" t="n">
        <v>0.1516353594054834</v>
      </c>
      <c r="E61" s="482" t="n">
        <v>0.07017650626025004</v>
      </c>
      <c r="F61" s="482" t="n">
        <v>0.2032462860085923</v>
      </c>
      <c r="G61" s="483" t="n">
        <v>0.45529282820391</v>
      </c>
      <c r="H61" s="483" t="n">
        <v>0.713095834385215</v>
      </c>
      <c r="I61" s="482" t="n">
        <v>0.07964729547588761</v>
      </c>
      <c r="J61" s="482" t="n">
        <v>0.306094059709723</v>
      </c>
      <c r="K61" s="482" t="n">
        <v>0.057772</v>
      </c>
      <c r="L61" s="482" t="n">
        <v>0.461977296618897</v>
      </c>
      <c r="M61" s="482" t="n">
        <v>0.06277031691032375</v>
      </c>
      <c r="N61" s="483" t="n">
        <v>0.565609939006503</v>
      </c>
      <c r="O61" s="483" t="n">
        <v>2.551955906236076</v>
      </c>
      <c r="P61" s="483" t="n">
        <v>10.10017392821272</v>
      </c>
      <c r="Q61" s="483" t="n">
        <v>16.79084763050131</v>
      </c>
      <c r="R61" s="483" t="n">
        <v>1.460927769968012</v>
      </c>
      <c r="S61" s="483" t="n">
        <v>62.56480753809761</v>
      </c>
      <c r="T61" s="482" t="n">
        <v>0.02703104469666699</v>
      </c>
      <c r="U61" s="482" t="n">
        <v>0.2145644753345978</v>
      </c>
      <c r="V61" s="482" t="n">
        <v>0.1340070933076269</v>
      </c>
      <c r="W61" s="482" t="n">
        <v>1.126089659478797</v>
      </c>
      <c r="X61" s="482" t="n">
        <v>0.102744054437984</v>
      </c>
      <c r="Y61" s="482" t="n">
        <v>0.6200272651819144</v>
      </c>
      <c r="Z61" s="482" t="n">
        <v>0.6200272651819144</v>
      </c>
      <c r="AA61" s="484" t="n">
        <v>0.1515969796862756</v>
      </c>
    </row>
    <row r="62" customFormat="1" s="138">
      <c r="A62" s="147" t="inlineStr">
        <is>
          <t>Precious Metals</t>
        </is>
      </c>
      <c r="B62" s="268" t="n">
        <v>777</v>
      </c>
      <c r="C62" s="482" t="n">
        <v>0.3746245698924733</v>
      </c>
      <c r="D62" s="482" t="n">
        <v>0.2494359793073996</v>
      </c>
      <c r="E62" s="482" t="n">
        <v>0.2153013873373777</v>
      </c>
      <c r="F62" s="482" t="n">
        <v>0.2807892099793587</v>
      </c>
      <c r="G62" s="483" t="n">
        <v>1.373938191111347</v>
      </c>
      <c r="H62" s="483" t="n">
        <v>1.397502721670588</v>
      </c>
      <c r="I62" s="482" t="n">
        <v>0.1181794032300541</v>
      </c>
      <c r="J62" s="482" t="n">
        <v>0.7989371056048193</v>
      </c>
      <c r="K62" s="482" t="n">
        <v>0.06729499999999999</v>
      </c>
      <c r="L62" s="482" t="n">
        <v>0.08303757886209259</v>
      </c>
      <c r="M62" s="482" t="n">
        <v>0.1125364064652896</v>
      </c>
      <c r="N62" s="483" t="n">
        <v>0.917643435885882</v>
      </c>
      <c r="O62" s="483" t="n">
        <v>4.753381526569258</v>
      </c>
      <c r="P62" s="483" t="n">
        <v>12.73651266924004</v>
      </c>
      <c r="Q62" s="483" t="n">
        <v>17.83773922825321</v>
      </c>
      <c r="R62" s="483" t="n">
        <v>3.804657280304748</v>
      </c>
      <c r="S62" s="483" t="n">
        <v>116.9843636034271</v>
      </c>
      <c r="T62" s="482" t="n">
        <v>0.08027924066323718</v>
      </c>
      <c r="U62" s="482" t="n">
        <v>0.1603575525262508</v>
      </c>
      <c r="V62" s="482" t="n">
        <v>0.1178855847628951</v>
      </c>
      <c r="W62" s="482" t="n">
        <v>0.715851867850095</v>
      </c>
      <c r="X62" s="482" t="n">
        <v>0.1690195841814242</v>
      </c>
      <c r="Y62" s="482" t="n">
        <v>0.2956417875171883</v>
      </c>
      <c r="Z62" s="482" t="n">
        <v>0.2956417875171884</v>
      </c>
      <c r="AA62" s="484" t="n">
        <v>0.2497433812958025</v>
      </c>
    </row>
    <row r="63" customFormat="1" s="138">
      <c r="A63" s="147" t="inlineStr">
        <is>
          <t>Publishing &amp; Newspapers</t>
        </is>
      </c>
      <c r="B63" s="268" t="n">
        <v>307</v>
      </c>
      <c r="C63" s="482" t="n">
        <v>0.03057247058823529</v>
      </c>
      <c r="D63" s="482" t="n">
        <v>0.07381590385170556</v>
      </c>
      <c r="E63" s="482" t="n">
        <v>0.09322190614455993</v>
      </c>
      <c r="F63" s="482" t="n">
        <v>0.265406956569354</v>
      </c>
      <c r="G63" s="483" t="n">
        <v>0.7787889630268272</v>
      </c>
      <c r="H63" s="483" t="n">
        <v>0.8166280629364139</v>
      </c>
      <c r="I63" s="482" t="n">
        <v>0.08547615994332011</v>
      </c>
      <c r="J63" s="482" t="n">
        <v>0.3617680805781914</v>
      </c>
      <c r="K63" s="482" t="n">
        <v>0.057772</v>
      </c>
      <c r="L63" s="482" t="n">
        <v>0.2186822963991847</v>
      </c>
      <c r="M63" s="482" t="n">
        <v>0.07621257747978911</v>
      </c>
      <c r="N63" s="483" t="n">
        <v>1.559200631640464</v>
      </c>
      <c r="O63" s="483" t="n">
        <v>1.298066388695739</v>
      </c>
      <c r="P63" s="483" t="n">
        <v>10.23179810924868</v>
      </c>
      <c r="Q63" s="483" t="n">
        <v>16.4922305047955</v>
      </c>
      <c r="R63" s="483" t="n">
        <v>1.523870819913599</v>
      </c>
      <c r="S63" s="483" t="n">
        <v>71.36492122452768</v>
      </c>
      <c r="T63" s="482" t="n">
        <v>0.07236118869083086</v>
      </c>
      <c r="U63" s="482" t="n">
        <v>0.03450868369439283</v>
      </c>
      <c r="V63" s="482" t="n">
        <v>0.01895271342635333</v>
      </c>
      <c r="W63" s="482" t="n">
        <v>0.5941059864285225</v>
      </c>
      <c r="X63" s="482" t="n">
        <v>0.07028936379565481</v>
      </c>
      <c r="Y63" s="482" t="n">
        <v>0.484929490888346</v>
      </c>
      <c r="Z63" s="482" t="n">
        <v>0.484929490888346</v>
      </c>
      <c r="AA63" s="484" t="n">
        <v>0.07428540002338996</v>
      </c>
    </row>
    <row r="64" customFormat="1" s="138">
      <c r="A64" s="147" t="inlineStr">
        <is>
          <t>R.E.I.T.</t>
        </is>
      </c>
      <c r="B64" s="268" t="n">
        <v>643</v>
      </c>
      <c r="C64" s="482" t="n">
        <v>0.1149438445807772</v>
      </c>
      <c r="D64" s="482" t="n">
        <v>0.3191638260682245</v>
      </c>
      <c r="E64" s="482" t="n">
        <v>0.03662333496456642</v>
      </c>
      <c r="F64" s="482" t="n">
        <v>0.05100410168995666</v>
      </c>
      <c r="G64" s="483" t="n">
        <v>0.3617107801017127</v>
      </c>
      <c r="H64" s="483" t="n">
        <v>0.5649158041768807</v>
      </c>
      <c r="I64" s="482" t="n">
        <v>0.07130475977515838</v>
      </c>
      <c r="J64" s="482" t="n">
        <v>0.2281224401054277</v>
      </c>
      <c r="K64" s="482" t="n">
        <v>0.054406</v>
      </c>
      <c r="L64" s="482" t="n">
        <v>0.4446741466717571</v>
      </c>
      <c r="M64" s="482" t="n">
        <v>0.05765256890236476</v>
      </c>
      <c r="N64" s="483" t="n">
        <v>0.127078899954272</v>
      </c>
      <c r="O64" s="483" t="n">
        <v>10.83423195678241</v>
      </c>
      <c r="P64" s="483" t="n">
        <v>19.69582875946651</v>
      </c>
      <c r="Q64" s="483" t="n">
        <v>31.75104938479781</v>
      </c>
      <c r="R64" s="483" t="n">
        <v>1.490526370054512</v>
      </c>
      <c r="S64" s="483" t="n">
        <v>27.84694101501239</v>
      </c>
      <c r="T64" s="482" t="n">
        <v>1.121122250159316</v>
      </c>
      <c r="U64" s="482" t="n">
        <v>0.04479808563980852</v>
      </c>
      <c r="V64" s="482" t="n">
        <v>-0.05588284583519937</v>
      </c>
      <c r="W64" s="482" t="n">
        <v>-0.1736637246495784</v>
      </c>
      <c r="X64" s="482" t="n">
        <v>0.05320894404278788</v>
      </c>
      <c r="Y64" s="482" t="n">
        <v>1.402724258789219</v>
      </c>
      <c r="Z64" s="482" t="n">
        <v>1.402724258789219</v>
      </c>
      <c r="AA64" s="484" t="n">
        <v>0.3001236105920998</v>
      </c>
    </row>
    <row r="65" customFormat="1" s="138">
      <c r="A65" s="147" t="inlineStr">
        <is>
          <t>Real Estate (Development)</t>
        </is>
      </c>
      <c r="B65" s="268" t="n">
        <v>895</v>
      </c>
      <c r="C65" s="482" t="n">
        <v>0.1092788078541373</v>
      </c>
      <c r="D65" s="482" t="n">
        <v>0.03464043404800599</v>
      </c>
      <c r="E65" s="482" t="n">
        <v>0.01207738676351989</v>
      </c>
      <c r="F65" s="482" t="n">
        <v>0.2953434605090853</v>
      </c>
      <c r="G65" s="483" t="n">
        <v>0.4459430094478332</v>
      </c>
      <c r="H65" s="483" t="n">
        <v>0.9255963509212772</v>
      </c>
      <c r="I65" s="482" t="n">
        <v>0.09161107455686791</v>
      </c>
      <c r="J65" s="482" t="n">
        <v>0.4316375298833472</v>
      </c>
      <c r="K65" s="482" t="n">
        <v>0.057772</v>
      </c>
      <c r="L65" s="482" t="n">
        <v>0.6565749313205221</v>
      </c>
      <c r="M65" s="482" t="n">
        <v>0.05976992767703071</v>
      </c>
      <c r="N65" s="483" t="n">
        <v>0.4114776713927805</v>
      </c>
      <c r="O65" s="483" t="n">
        <v>2.08249739415861</v>
      </c>
      <c r="P65" s="483" t="n">
        <v>14.08180992767816</v>
      </c>
      <c r="Q65" s="483" t="n">
        <v>40.1909309194856</v>
      </c>
      <c r="R65" s="483" t="n">
        <v>0.5582336098166379</v>
      </c>
      <c r="S65" s="483" t="n">
        <v>49.302438688236</v>
      </c>
      <c r="T65" s="482" t="n">
        <v>1.709129550153643</v>
      </c>
      <c r="U65" s="482" t="n">
        <v>0.01176904058012445</v>
      </c>
      <c r="V65" s="482" t="n">
        <v>0.0005387085761074494</v>
      </c>
      <c r="W65" s="482" t="n">
        <v>-10.82220747472523</v>
      </c>
      <c r="X65" s="482" t="n">
        <v>-0.05924928709176732</v>
      </c>
      <c r="Y65" s="482" t="n">
        <v>0.004171350724506205</v>
      </c>
      <c r="Z65" s="482" t="n">
        <v>0.004171350724506251</v>
      </c>
      <c r="AA65" s="484" t="n">
        <v>0.03439490571805705</v>
      </c>
    </row>
    <row r="66" customFormat="1" s="138">
      <c r="A66" s="147" t="inlineStr">
        <is>
          <t>Real Estate (General/Diversified)</t>
        </is>
      </c>
      <c r="B66" s="268" t="n">
        <v>312</v>
      </c>
      <c r="C66" s="482" t="n">
        <v>0.1169489105058367</v>
      </c>
      <c r="D66" s="482" t="n">
        <v>0.1491904456432028</v>
      </c>
      <c r="E66" s="482" t="n">
        <v>0.03590291574504025</v>
      </c>
      <c r="F66" s="482" t="n">
        <v>0.2442921607230223</v>
      </c>
      <c r="G66" s="483" t="n">
        <v>0.5976415577929464</v>
      </c>
      <c r="H66" s="483" t="n">
        <v>0.9278510967823941</v>
      </c>
      <c r="I66" s="482" t="n">
        <v>0.09173801674884879</v>
      </c>
      <c r="J66" s="482" t="n">
        <v>0.3351451420430995</v>
      </c>
      <c r="K66" s="482" t="n">
        <v>0.057772</v>
      </c>
      <c r="L66" s="482" t="n">
        <v>0.4696623100945709</v>
      </c>
      <c r="M66" s="482" t="n">
        <v>0.06890173278855619</v>
      </c>
      <c r="N66" s="483" t="n">
        <v>0.2692977134672492</v>
      </c>
      <c r="O66" s="483" t="n">
        <v>3.785734191005333</v>
      </c>
      <c r="P66" s="483" t="n">
        <v>15.0164391000157</v>
      </c>
      <c r="Q66" s="483" t="n">
        <v>22.45656337840806</v>
      </c>
      <c r="R66" s="483" t="n">
        <v>0.9265585029469142</v>
      </c>
      <c r="S66" s="483" t="n">
        <v>35.03223053789104</v>
      </c>
      <c r="T66" s="482" t="n">
        <v>1.16940909728276</v>
      </c>
      <c r="U66" s="482" t="n">
        <v>0.09104638467895854</v>
      </c>
      <c r="V66" s="482" t="n">
        <v>0.0706249081283494</v>
      </c>
      <c r="W66" s="482" t="n">
        <v>0.657538642401746</v>
      </c>
      <c r="X66" s="482" t="n">
        <v>0.0344476413600075</v>
      </c>
      <c r="Y66" s="482" t="n">
        <v>0.6377464769662482</v>
      </c>
      <c r="Z66" s="482" t="n">
        <v>0.6377464769662482</v>
      </c>
      <c r="AA66" s="484" t="n">
        <v>0.1560585333552827</v>
      </c>
    </row>
    <row r="67" customFormat="1" s="138">
      <c r="A67" s="147" t="inlineStr">
        <is>
          <t>Real Estate (Operations &amp; Services)</t>
        </is>
      </c>
      <c r="B67" s="268" t="n">
        <v>752</v>
      </c>
      <c r="C67" s="482" t="n">
        <v>0.106951550802139</v>
      </c>
      <c r="D67" s="482" t="n">
        <v>0.1739870542804467</v>
      </c>
      <c r="E67" s="482" t="n">
        <v>0.04194610209003494</v>
      </c>
      <c r="F67" s="482" t="n">
        <v>0.1884459279791835</v>
      </c>
      <c r="G67" s="483" t="n">
        <v>0.5141243820700275</v>
      </c>
      <c r="H67" s="483" t="n">
        <v>0.7817615978661525</v>
      </c>
      <c r="I67" s="482" t="n">
        <v>0.08351317795986439</v>
      </c>
      <c r="J67" s="482" t="n">
        <v>0.3627061746321218</v>
      </c>
      <c r="K67" s="482" t="n">
        <v>0.057772</v>
      </c>
      <c r="L67" s="482" t="n">
        <v>0.4520618604805629</v>
      </c>
      <c r="M67" s="482" t="n">
        <v>0.06525081259357243</v>
      </c>
      <c r="N67" s="483" t="n">
        <v>0.2772511126154806</v>
      </c>
      <c r="O67" s="483" t="n">
        <v>4.149271620392574</v>
      </c>
      <c r="P67" s="483" t="n">
        <v>18.46448433542004</v>
      </c>
      <c r="Q67" s="483" t="n">
        <v>22.19818780596913</v>
      </c>
      <c r="R67" s="483" t="n">
        <v>0.9948345614892116</v>
      </c>
      <c r="S67" s="483" t="n">
        <v>65.40912109472205</v>
      </c>
      <c r="T67" s="482" t="n">
        <v>0.1846724797349471</v>
      </c>
      <c r="U67" s="482" t="n">
        <v>0.02085411573594052</v>
      </c>
      <c r="V67" s="482" t="n">
        <v>0.02254993152013053</v>
      </c>
      <c r="W67" s="482" t="n">
        <v>0.2589210621538328</v>
      </c>
      <c r="X67" s="482" t="n">
        <v>0.05016615822925891</v>
      </c>
      <c r="Y67" s="482" t="n">
        <v>0.4724112596823254</v>
      </c>
      <c r="Z67" s="482" t="n">
        <v>0.4724112596823253</v>
      </c>
      <c r="AA67" s="484" t="n">
        <v>0.1773064261354949</v>
      </c>
    </row>
    <row r="68" customFormat="1" s="138">
      <c r="A68" s="147" t="inlineStr">
        <is>
          <t>Recreation</t>
        </is>
      </c>
      <c r="B68" s="268" t="n">
        <v>332</v>
      </c>
      <c r="C68" s="482" t="n">
        <v>0.08771458498023714</v>
      </c>
      <c r="D68" s="482" t="n">
        <v>0.1051687689805018</v>
      </c>
      <c r="E68" s="482" t="n">
        <v>0.09530290658247441</v>
      </c>
      <c r="F68" s="482" t="n">
        <v>0.261924180193841</v>
      </c>
      <c r="G68" s="483" t="n">
        <v>0.8899705656165486</v>
      </c>
      <c r="H68" s="483" t="n">
        <v>1.006379861589296</v>
      </c>
      <c r="I68" s="482" t="n">
        <v>0.09615918620747738</v>
      </c>
      <c r="J68" s="482" t="n">
        <v>0.3887640144142781</v>
      </c>
      <c r="K68" s="482" t="n">
        <v>0.057772</v>
      </c>
      <c r="L68" s="482" t="n">
        <v>0.2501930405380595</v>
      </c>
      <c r="M68" s="482" t="n">
        <v>0.08288796092438629</v>
      </c>
      <c r="N68" s="483" t="n">
        <v>1.205564462967723</v>
      </c>
      <c r="O68" s="483" t="n">
        <v>2.037579416921606</v>
      </c>
      <c r="P68" s="483" t="n">
        <v>11.44117611985326</v>
      </c>
      <c r="Q68" s="483" t="n">
        <v>19.90547042853703</v>
      </c>
      <c r="R68" s="483" t="n">
        <v>2.640701076220093</v>
      </c>
      <c r="S68" s="483" t="n">
        <v>518.4765050109564</v>
      </c>
      <c r="T68" s="482" t="n">
        <v>0.1386234479341811</v>
      </c>
      <c r="U68" s="482" t="n">
        <v>0.05971337175491774</v>
      </c>
      <c r="V68" s="482" t="n">
        <v>0.02110405625939609</v>
      </c>
      <c r="W68" s="482" t="n">
        <v>0.2506063298286342</v>
      </c>
      <c r="X68" s="482" t="n">
        <v>0.03886368714794795</v>
      </c>
      <c r="Y68" s="482" t="n">
        <v>1.267025042087485</v>
      </c>
      <c r="Z68" s="482" t="n">
        <v>1.267025042087485</v>
      </c>
      <c r="AA68" s="484" t="n">
        <v>0.1014420451358757</v>
      </c>
    </row>
    <row r="69" customFormat="1" s="138">
      <c r="A69" s="147" t="inlineStr">
        <is>
          <t>Reinsurance</t>
        </is>
      </c>
      <c r="B69" s="268" t="n">
        <v>32</v>
      </c>
      <c r="C69" s="482" t="n">
        <v>0.08274785714285715</v>
      </c>
      <c r="D69" s="482" t="n">
        <v>0.1332120967135036</v>
      </c>
      <c r="E69" s="482" t="n">
        <v>0.1745438480795341</v>
      </c>
      <c r="F69" s="482" t="n">
        <v>0.2296029152444692</v>
      </c>
      <c r="G69" s="483" t="n">
        <v>0.9526677446916421</v>
      </c>
      <c r="H69" s="483" t="n">
        <v>0.9894656018903776</v>
      </c>
      <c r="I69" s="482" t="n">
        <v>0.09520691338642825</v>
      </c>
      <c r="J69" s="482" t="n">
        <v>0.3057150140325701</v>
      </c>
      <c r="K69" s="482" t="n">
        <v>0.057772</v>
      </c>
      <c r="L69" s="482" t="n">
        <v>0.1686036292722797</v>
      </c>
      <c r="M69" s="482" t="n">
        <v>0.08642406880558329</v>
      </c>
      <c r="N69" s="483" t="n">
        <v>1.593090168907029</v>
      </c>
      <c r="O69" s="483" t="n">
        <v>1.050461210359293</v>
      </c>
      <c r="P69" s="483" t="n">
        <v>7.91825806910534</v>
      </c>
      <c r="Q69" s="483" t="n">
        <v>5.315568476665034</v>
      </c>
      <c r="R69" s="483" t="n">
        <v>1.430570367596739</v>
      </c>
      <c r="S69" s="483" t="n">
        <v>10.89799963641564</v>
      </c>
      <c r="T69" s="482" t="n">
        <v>-0.646991351690546</v>
      </c>
      <c r="U69" s="482" t="n">
        <v>0.0005466252252983143</v>
      </c>
      <c r="V69" s="482" t="n">
        <v>0.04471524197081372</v>
      </c>
      <c r="W69" s="482" t="n">
        <v>0.4881172152901424</v>
      </c>
      <c r="X69" s="482" t="n">
        <v>0.1564648948150132</v>
      </c>
      <c r="Y69" s="482" t="n">
        <v>0.2498683974894317</v>
      </c>
      <c r="Z69" s="482" t="n">
        <v>0.2498683974894317</v>
      </c>
      <c r="AA69" s="484" t="n">
        <v>0.1331982697493818</v>
      </c>
    </row>
    <row r="70" customFormat="1" s="138">
      <c r="A70" s="147" t="inlineStr">
        <is>
          <t>Restaurant/Dining</t>
        </is>
      </c>
      <c r="B70" s="268" t="n">
        <v>410</v>
      </c>
      <c r="C70" s="482" t="n">
        <v>0.08904744897959184</v>
      </c>
      <c r="D70" s="482" t="n">
        <v>0.09509014242277498</v>
      </c>
      <c r="E70" s="482" t="n">
        <v>0.1418390609350501</v>
      </c>
      <c r="F70" s="482" t="n">
        <v>0.2296024179180171</v>
      </c>
      <c r="G70" s="483" t="n">
        <v>0.6606263564759781</v>
      </c>
      <c r="H70" s="483" t="n">
        <v>0.7547042188005285</v>
      </c>
      <c r="I70" s="482" t="n">
        <v>0.08198984751846976</v>
      </c>
      <c r="J70" s="482" t="n">
        <v>0.3314076568122884</v>
      </c>
      <c r="K70" s="482" t="n">
        <v>0.057772</v>
      </c>
      <c r="L70" s="482" t="n">
        <v>0.2064375689001402</v>
      </c>
      <c r="M70" s="482" t="n">
        <v>0.073964668793585</v>
      </c>
      <c r="N70" s="483" t="n">
        <v>1.995422349332178</v>
      </c>
      <c r="O70" s="483" t="n">
        <v>2.473223403095496</v>
      </c>
      <c r="P70" s="483" t="n">
        <v>16.59654444434705</v>
      </c>
      <c r="Q70" s="483" t="n">
        <v>27.87663205838354</v>
      </c>
      <c r="R70" s="483" t="n">
        <v>8.956217747417544</v>
      </c>
      <c r="S70" s="483" t="n">
        <v>67.30580589855452</v>
      </c>
      <c r="T70" s="482" t="n">
        <v>-0.008902963365388995</v>
      </c>
      <c r="U70" s="482" t="n">
        <v>0.04229238417178479</v>
      </c>
      <c r="V70" s="482" t="n">
        <v>0.01785883321955373</v>
      </c>
      <c r="W70" s="482" t="n">
        <v>0.2726751363165097</v>
      </c>
      <c r="X70" s="482" t="n">
        <v>0.2813626967080739</v>
      </c>
      <c r="Y70" s="482" t="n">
        <v>0.6656518498202616</v>
      </c>
      <c r="Z70" s="482" t="n">
        <v>0.6656518498202616</v>
      </c>
      <c r="AA70" s="484" t="n">
        <v>0.08873221374431402</v>
      </c>
    </row>
    <row r="71" customFormat="1" s="138">
      <c r="A71" s="147" t="inlineStr">
        <is>
          <t>Retail (Automotive)</t>
        </is>
      </c>
      <c r="B71" s="268" t="n">
        <v>212</v>
      </c>
      <c r="C71" s="482" t="n">
        <v>0.1098397972972973</v>
      </c>
      <c r="D71" s="482" t="n">
        <v>0.05151367292583361</v>
      </c>
      <c r="E71" s="482" t="n">
        <v>0.1047412918196891</v>
      </c>
      <c r="F71" s="482" t="n">
        <v>0.2339412579952067</v>
      </c>
      <c r="G71" s="483" t="n">
        <v>0.6298056345182907</v>
      </c>
      <c r="H71" s="483" t="n">
        <v>0.8345533783845093</v>
      </c>
      <c r="I71" s="482" t="n">
        <v>0.08648535520304787</v>
      </c>
      <c r="J71" s="482" t="n">
        <v>0.3707027154283827</v>
      </c>
      <c r="K71" s="482" t="n">
        <v>0.057772</v>
      </c>
      <c r="L71" s="482" t="n">
        <v>0.3453292235973775</v>
      </c>
      <c r="M71" s="482" t="n">
        <v>0.07150838823583575</v>
      </c>
      <c r="N71" s="483" t="n">
        <v>2.537319722237231</v>
      </c>
      <c r="O71" s="483" t="n">
        <v>0.8779024077303554</v>
      </c>
      <c r="P71" s="483" t="n">
        <v>12.28233026002029</v>
      </c>
      <c r="Q71" s="483" t="n">
        <v>17.56290961731483</v>
      </c>
      <c r="R71" s="483" t="n">
        <v>3.190474221885967</v>
      </c>
      <c r="S71" s="483" t="n">
        <v>238.003934271649</v>
      </c>
      <c r="T71" s="482" t="n">
        <v>0.1032051251049343</v>
      </c>
      <c r="U71" s="482" t="n">
        <v>0.02421797216479497</v>
      </c>
      <c r="V71" s="482" t="n">
        <v>0.01831782645906442</v>
      </c>
      <c r="W71" s="482" t="n">
        <v>0.3969661931794953</v>
      </c>
      <c r="X71" s="482" t="n">
        <v>0.1271849593303982</v>
      </c>
      <c r="Y71" s="482" t="n">
        <v>0.4146123216347165</v>
      </c>
      <c r="Z71" s="482" t="n">
        <v>0.4146123216347165</v>
      </c>
      <c r="AA71" s="484" t="n">
        <v>0.0497267339668928</v>
      </c>
    </row>
    <row r="72" customFormat="1" s="138">
      <c r="A72" s="147" t="inlineStr">
        <is>
          <t>Retail (Building Supply)</t>
        </is>
      </c>
      <c r="B72" s="268" t="n">
        <v>121</v>
      </c>
      <c r="C72" s="482" t="n">
        <v>0.04394159090909091</v>
      </c>
      <c r="D72" s="482" t="n">
        <v>0.1059004828802061</v>
      </c>
      <c r="E72" s="482" t="n">
        <v>0.231414778751026</v>
      </c>
      <c r="F72" s="482" t="n">
        <v>0.246617135404608</v>
      </c>
      <c r="G72" s="483" t="n">
        <v>0.8046541261441439</v>
      </c>
      <c r="H72" s="483" t="n">
        <v>0.9448886263181572</v>
      </c>
      <c r="I72" s="482" t="n">
        <v>0.09269722966171226</v>
      </c>
      <c r="J72" s="482" t="n">
        <v>0.3431839495105764</v>
      </c>
      <c r="K72" s="482" t="n">
        <v>0.057772</v>
      </c>
      <c r="L72" s="482" t="n">
        <v>0.2060454743464585</v>
      </c>
      <c r="M72" s="482" t="n">
        <v>0.08248108582458727</v>
      </c>
      <c r="N72" s="483" t="n">
        <v>2.742826999059449</v>
      </c>
      <c r="O72" s="483" t="n">
        <v>1.909106375749557</v>
      </c>
      <c r="P72" s="483" t="n">
        <v>13.4819504184892</v>
      </c>
      <c r="Q72" s="483" t="n">
        <v>18.19498298108233</v>
      </c>
      <c r="R72" s="483" t="n">
        <v>12.67096425364824</v>
      </c>
      <c r="S72" s="483" t="n">
        <v>27.82871151051389</v>
      </c>
      <c r="T72" s="482" t="n">
        <v>0.09762740462319386</v>
      </c>
      <c r="U72" s="482" t="n">
        <v>0.02546300199937413</v>
      </c>
      <c r="V72" s="482" t="n">
        <v>0.04373731505555901</v>
      </c>
      <c r="W72" s="482" t="n">
        <v>0.5665844485168845</v>
      </c>
      <c r="X72" s="482" t="n">
        <v>0.7077634236187839</v>
      </c>
      <c r="Y72" s="482" t="n">
        <v>0.561381963122771</v>
      </c>
      <c r="Z72" s="482" t="n">
        <v>0.561381963122771</v>
      </c>
      <c r="AA72" s="484" t="n">
        <v>0.1045099263028524</v>
      </c>
    </row>
    <row r="73" customFormat="1" s="138">
      <c r="A73" s="147" t="inlineStr">
        <is>
          <t>Retail (Distributors)</t>
        </is>
      </c>
      <c r="B73" s="268" t="n">
        <v>1079</v>
      </c>
      <c r="C73" s="482" t="n">
        <v>0.1697928843710291</v>
      </c>
      <c r="D73" s="482" t="n">
        <v>0.04789213431125137</v>
      </c>
      <c r="E73" s="482" t="n">
        <v>0.07256195383239139</v>
      </c>
      <c r="F73" s="482" t="n">
        <v>0.2243316776376483</v>
      </c>
      <c r="G73" s="483" t="n">
        <v>0.6427870354354531</v>
      </c>
      <c r="H73" s="483" t="n">
        <v>0.8135943038880372</v>
      </c>
      <c r="I73" s="482" t="n">
        <v>0.08530535930889649</v>
      </c>
      <c r="J73" s="482" t="n">
        <v>0.3860263803991233</v>
      </c>
      <c r="K73" s="482" t="n">
        <v>0.057772</v>
      </c>
      <c r="L73" s="482" t="n">
        <v>0.3258530750417148</v>
      </c>
      <c r="M73" s="482" t="n">
        <v>0.07155758036878682</v>
      </c>
      <c r="N73" s="483" t="n">
        <v>1.827761977344407</v>
      </c>
      <c r="O73" s="483" t="n">
        <v>0.9714873432401605</v>
      </c>
      <c r="P73" s="483" t="n">
        <v>14.4145828448941</v>
      </c>
      <c r="Q73" s="483" t="n">
        <v>19.4447771673551</v>
      </c>
      <c r="R73" s="483" t="n">
        <v>1.87538524122312</v>
      </c>
      <c r="S73" s="483" t="n">
        <v>82.29169332929244</v>
      </c>
      <c r="T73" s="482" t="n">
        <v>0.1597206182794098</v>
      </c>
      <c r="U73" s="482" t="n">
        <v>0.02943790125394995</v>
      </c>
      <c r="V73" s="482" t="n">
        <v>0.03182782848483925</v>
      </c>
      <c r="W73" s="482" t="n">
        <v>0.9973754265147551</v>
      </c>
      <c r="X73" s="482" t="n">
        <v>0.1150874261471539</v>
      </c>
      <c r="Y73" s="482" t="n">
        <v>0.5085311578743437</v>
      </c>
      <c r="Z73" s="482" t="n">
        <v>0.5085311578743437</v>
      </c>
      <c r="AA73" s="484" t="n">
        <v>0.0482794792379243</v>
      </c>
    </row>
    <row r="74" customFormat="1" s="138">
      <c r="A74" s="147" t="inlineStr">
        <is>
          <t>Retail (General)</t>
        </is>
      </c>
      <c r="B74" s="268" t="n">
        <v>252</v>
      </c>
      <c r="C74" s="482" t="n">
        <v>0.02506167512690356</v>
      </c>
      <c r="D74" s="482" t="n">
        <v>0.06474340055041528</v>
      </c>
      <c r="E74" s="482" t="n">
        <v>0.117234501863138</v>
      </c>
      <c r="F74" s="482" t="n">
        <v>0.1914603497017898</v>
      </c>
      <c r="G74" s="483" t="n">
        <v>0.9372779491064982</v>
      </c>
      <c r="H74" s="483" t="n">
        <v>0.9825458040668552</v>
      </c>
      <c r="I74" s="482" t="n">
        <v>0.09481732876896395</v>
      </c>
      <c r="J74" s="482" t="n">
        <v>0.3615244623466804</v>
      </c>
      <c r="K74" s="482" t="n">
        <v>0.057772</v>
      </c>
      <c r="L74" s="482" t="n">
        <v>0.1153929791380072</v>
      </c>
      <c r="M74" s="482" t="n">
        <v>0.08885127113367022</v>
      </c>
      <c r="N74" s="483" t="n">
        <v>2.725516681913951</v>
      </c>
      <c r="O74" s="483" t="n">
        <v>1.932230896170613</v>
      </c>
      <c r="P74" s="483" t="n">
        <v>17.09673563113583</v>
      </c>
      <c r="Q74" s="483" t="n">
        <v>30.66589619990264</v>
      </c>
      <c r="R74" s="483" t="n">
        <v>5.288580515942678</v>
      </c>
      <c r="S74" s="483" t="n">
        <v>66.24576868998284</v>
      </c>
      <c r="T74" s="482" t="n">
        <v>0.01217096572652088</v>
      </c>
      <c r="U74" s="482" t="n">
        <v>0.06816016419993415</v>
      </c>
      <c r="V74" s="482" t="n">
        <v>0.03840426549758547</v>
      </c>
      <c r="W74" s="482" t="n">
        <v>0.7746307095094055</v>
      </c>
      <c r="X74" s="482" t="n">
        <v>0.2102987216008</v>
      </c>
      <c r="Y74" s="482" t="n">
        <v>0.1565947270144975</v>
      </c>
      <c r="Z74" s="482" t="n">
        <v>0.1565947270144975</v>
      </c>
      <c r="AA74" s="484" t="n">
        <v>0.06718995101266123</v>
      </c>
    </row>
    <row r="75" customFormat="1" s="138">
      <c r="A75" s="147" t="inlineStr">
        <is>
          <t>Retail (Grocery and Food)</t>
        </is>
      </c>
      <c r="B75" s="268" t="n">
        <v>215</v>
      </c>
      <c r="C75" s="482" t="n">
        <v>0.0550627380952381</v>
      </c>
      <c r="D75" s="482" t="n">
        <v>0.03779647989181484</v>
      </c>
      <c r="E75" s="482" t="n">
        <v>0.1007739695508477</v>
      </c>
      <c r="F75" s="482" t="n">
        <v>0.2583148590557114</v>
      </c>
      <c r="G75" s="483" t="n">
        <v>0.6905168684866784</v>
      </c>
      <c r="H75" s="483" t="n">
        <v>0.8735269236418004</v>
      </c>
      <c r="I75" s="482" t="n">
        <v>0.08867956580103337</v>
      </c>
      <c r="J75" s="482" t="n">
        <v>0.3619039143297326</v>
      </c>
      <c r="K75" s="482" t="n">
        <v>0.057772</v>
      </c>
      <c r="L75" s="482" t="n">
        <v>0.3148862540972695</v>
      </c>
      <c r="M75" s="482" t="n">
        <v>0.07433198706266891</v>
      </c>
      <c r="N75" s="483" t="n">
        <v>3.499862723553217</v>
      </c>
      <c r="O75" s="483" t="n">
        <v>0.6677380811373366</v>
      </c>
      <c r="P75" s="483" t="n">
        <v>10.34281673725207</v>
      </c>
      <c r="Q75" s="483" t="n">
        <v>17.8028409483595</v>
      </c>
      <c r="R75" s="483" t="n">
        <v>2.594865500151777</v>
      </c>
      <c r="S75" s="483" t="n">
        <v>62.97397409524744</v>
      </c>
      <c r="T75" s="482" t="n">
        <v>-0.02626738076090251</v>
      </c>
      <c r="U75" s="482" t="n">
        <v>0.02191813352540855</v>
      </c>
      <c r="V75" s="482" t="n">
        <v>0.002232724565639236</v>
      </c>
      <c r="W75" s="482" t="n">
        <v>0.1100069389508625</v>
      </c>
      <c r="X75" s="482" t="n">
        <v>0.1095651748537876</v>
      </c>
      <c r="Y75" s="482" t="n">
        <v>0.5338124352309425</v>
      </c>
      <c r="Z75" s="482" t="n">
        <v>0.5338124352309425</v>
      </c>
      <c r="AA75" s="484" t="n">
        <v>0.03669402872488245</v>
      </c>
    </row>
    <row r="76" customFormat="1" s="138">
      <c r="A76" s="147" t="inlineStr">
        <is>
          <t>Retail (REITs)</t>
        </is>
      </c>
      <c r="B76" s="268" t="n">
        <v>113</v>
      </c>
      <c r="C76" s="482" t="n">
        <v>0.1011641935483871</v>
      </c>
      <c r="D76" s="482" t="n">
        <v>0.5001563909753286</v>
      </c>
      <c r="E76" s="482" t="n">
        <v>0.0508836109745845</v>
      </c>
      <c r="F76" s="482" t="n">
        <v>0.07114049204288712</v>
      </c>
      <c r="G76" s="483" t="n">
        <v>0.4073102020389581</v>
      </c>
      <c r="H76" s="483" t="n">
        <v>0.6078154093364273</v>
      </c>
      <c r="I76" s="482" t="n">
        <v>0.07372000754564086</v>
      </c>
      <c r="J76" s="482" t="n">
        <v>0.1781362514483556</v>
      </c>
      <c r="K76" s="482" t="n">
        <v>0.054406</v>
      </c>
      <c r="L76" s="482" t="n">
        <v>0.4156579408343565</v>
      </c>
      <c r="M76" s="482" t="n">
        <v>0.05995474259976463</v>
      </c>
      <c r="N76" s="483" t="n">
        <v>0.1110341749571815</v>
      </c>
      <c r="O76" s="483" t="n">
        <v>11.50206315471085</v>
      </c>
      <c r="P76" s="483" t="n">
        <v>16.76379152853874</v>
      </c>
      <c r="Q76" s="483" t="n">
        <v>21.14748926434133</v>
      </c>
      <c r="R76" s="483" t="n">
        <v>1.329824312847173</v>
      </c>
      <c r="S76" s="483" t="n">
        <v>106.5599008769375</v>
      </c>
      <c r="T76" s="482" t="n">
        <v>0.001553750689302308</v>
      </c>
      <c r="U76" s="482" t="n">
        <v>0.03932759265466854</v>
      </c>
      <c r="V76" s="482" t="n">
        <v>-0.03587328427573429</v>
      </c>
      <c r="W76" s="482" t="n">
        <v>-0.07726860248670529</v>
      </c>
      <c r="X76" s="482" t="n">
        <v>0.05830796414020813</v>
      </c>
      <c r="Y76" s="482" t="n">
        <v>1.193611651748855</v>
      </c>
      <c r="Z76" s="482" t="n">
        <v>1.193611651748855</v>
      </c>
      <c r="AA76" s="484" t="n">
        <v>0.4918330102235171</v>
      </c>
    </row>
    <row r="77" customFormat="1" s="138">
      <c r="A77" s="147" t="inlineStr">
        <is>
          <t>Retail (Special Lines)</t>
        </is>
      </c>
      <c r="B77" s="268" t="n">
        <v>649</v>
      </c>
      <c r="C77" s="482" t="n">
        <v>0.0864061434977579</v>
      </c>
      <c r="D77" s="482" t="n">
        <v>0.07408328178255402</v>
      </c>
      <c r="E77" s="482" t="n">
        <v>0.1700160941762582</v>
      </c>
      <c r="F77" s="482" t="n">
        <v>0.2484519779339119</v>
      </c>
      <c r="G77" s="483" t="n">
        <v>0.9036386392039154</v>
      </c>
      <c r="H77" s="483" t="n">
        <v>0.9604159304469734</v>
      </c>
      <c r="I77" s="482" t="n">
        <v>0.09357141688416461</v>
      </c>
      <c r="J77" s="482" t="n">
        <v>0.3974555854898027</v>
      </c>
      <c r="K77" s="482" t="n">
        <v>0.057772</v>
      </c>
      <c r="L77" s="482" t="n">
        <v>0.1551553084559602</v>
      </c>
      <c r="M77" s="482" t="n">
        <v>0.08574287375475266</v>
      </c>
      <c r="N77" s="483" t="n">
        <v>2.720701091060132</v>
      </c>
      <c r="O77" s="483" t="n">
        <v>1.494979992414504</v>
      </c>
      <c r="P77" s="483" t="n">
        <v>13.10971332802314</v>
      </c>
      <c r="Q77" s="483" t="n">
        <v>19.33739578616155</v>
      </c>
      <c r="R77" s="483" t="n">
        <v>4.409562295492401</v>
      </c>
      <c r="S77" s="483" t="n">
        <v>67.31716734916264</v>
      </c>
      <c r="T77" s="482" t="n">
        <v>0.0734551606699835</v>
      </c>
      <c r="U77" s="482" t="n">
        <v>0.02529875401398797</v>
      </c>
      <c r="V77" s="482" t="n">
        <v>0.003132584878005541</v>
      </c>
      <c r="W77" s="482" t="n">
        <v>0.1940640784540515</v>
      </c>
      <c r="X77" s="482" t="n">
        <v>0.1657039509770625</v>
      </c>
      <c r="Y77" s="482" t="n">
        <v>0.3829435316785111</v>
      </c>
      <c r="Z77" s="482" t="n">
        <v>0.382943531678511</v>
      </c>
      <c r="AA77" s="484" t="n">
        <v>0.07595142127968159</v>
      </c>
    </row>
    <row r="78" customFormat="1" s="138">
      <c r="A78" s="147" t="inlineStr">
        <is>
          <t>Rubber&amp; Tires</t>
        </is>
      </c>
      <c r="B78" s="268" t="n">
        <v>91</v>
      </c>
      <c r="C78" s="482" t="n">
        <v>0.09210848101265828</v>
      </c>
      <c r="D78" s="482" t="n">
        <v>0.07304957857542783</v>
      </c>
      <c r="E78" s="482" t="n">
        <v>0.08276265626723926</v>
      </c>
      <c r="F78" s="482" t="n">
        <v>0.2813485468128076</v>
      </c>
      <c r="G78" s="483" t="n">
        <v>0.7807467415051133</v>
      </c>
      <c r="H78" s="483" t="n">
        <v>0.9407597331040694</v>
      </c>
      <c r="I78" s="482" t="n">
        <v>0.0924647729737591</v>
      </c>
      <c r="J78" s="482" t="n">
        <v>0.301311818098797</v>
      </c>
      <c r="K78" s="482" t="n">
        <v>0.057772</v>
      </c>
      <c r="L78" s="482" t="n">
        <v>0.3061370390328608</v>
      </c>
      <c r="M78" s="482" t="n">
        <v>0.0773570541736113</v>
      </c>
      <c r="N78" s="483" t="n">
        <v>1.451849529929093</v>
      </c>
      <c r="O78" s="483" t="n">
        <v>0.8990840662030828</v>
      </c>
      <c r="P78" s="483" t="n">
        <v>6.817684759642478</v>
      </c>
      <c r="Q78" s="483" t="n">
        <v>12.12334685514196</v>
      </c>
      <c r="R78" s="483" t="n">
        <v>1.265408759991341</v>
      </c>
      <c r="S78" s="483" t="n">
        <v>26.60724768391314</v>
      </c>
      <c r="T78" s="482" t="n">
        <v>0.211740003356104</v>
      </c>
      <c r="U78" s="482" t="n">
        <v>0.06340370065895891</v>
      </c>
      <c r="V78" s="482" t="n">
        <v>0.03285726395243756</v>
      </c>
      <c r="W78" s="482" t="n">
        <v>0.8912405050162355</v>
      </c>
      <c r="X78" s="482" t="n">
        <v>0.06049432968703455</v>
      </c>
      <c r="Y78" s="482" t="n">
        <v>0.6830483186115996</v>
      </c>
      <c r="Z78" s="482" t="n">
        <v>0.6830483186115996</v>
      </c>
      <c r="AA78" s="484" t="n">
        <v>0.07962487217609979</v>
      </c>
    </row>
    <row r="79" customFormat="1" s="138">
      <c r="A79" s="147" t="inlineStr">
        <is>
          <t>Semiconductor</t>
        </is>
      </c>
      <c r="B79" s="268" t="n">
        <v>675</v>
      </c>
      <c r="C79" s="482" t="n">
        <v>0.07810913865546222</v>
      </c>
      <c r="D79" s="482" t="n">
        <v>0.2699037852233688</v>
      </c>
      <c r="E79" s="482" t="n">
        <v>0.2053635878609724</v>
      </c>
      <c r="F79" s="482" t="n">
        <v>0.1608322733095263</v>
      </c>
      <c r="G79" s="483" t="n">
        <v>1.86889703225494</v>
      </c>
      <c r="H79" s="483" t="n">
        <v>1.876765888655153</v>
      </c>
      <c r="I79" s="482" t="n">
        <v>0.1451619195312851</v>
      </c>
      <c r="J79" s="482" t="n">
        <v>0.4508125738693745</v>
      </c>
      <c r="K79" s="482" t="n">
        <v>0.060013</v>
      </c>
      <c r="L79" s="482" t="n">
        <v>0.03961860128087261</v>
      </c>
      <c r="M79" s="482" t="n">
        <v>0.1411852334240717</v>
      </c>
      <c r="N79" s="483" t="n">
        <v>1.109327556592405</v>
      </c>
      <c r="O79" s="483" t="n">
        <v>10.62189423829147</v>
      </c>
      <c r="P79" s="483" t="n">
        <v>26.97654347667644</v>
      </c>
      <c r="Q79" s="483" t="n">
        <v>38.24251439073223</v>
      </c>
      <c r="R79" s="483" t="n">
        <v>8.976167264269229</v>
      </c>
      <c r="S79" s="483" t="n">
        <v>192.0291315193963</v>
      </c>
      <c r="T79" s="482" t="n">
        <v>0.1761634738192006</v>
      </c>
      <c r="U79" s="482" t="n">
        <v>0.1588333161764649</v>
      </c>
      <c r="V79" s="482" t="n">
        <v>0.08874721109941727</v>
      </c>
      <c r="W79" s="482" t="n">
        <v>0.5827666715932869</v>
      </c>
      <c r="X79" s="482" t="n">
        <v>0.2398610250907364</v>
      </c>
      <c r="Y79" s="482" t="n">
        <v>0.2259211355312928</v>
      </c>
      <c r="Z79" s="482" t="n">
        <v>0.2259211355312928</v>
      </c>
      <c r="AA79" s="484" t="n">
        <v>0.2808488955902988</v>
      </c>
    </row>
    <row r="80" customFormat="1" s="138">
      <c r="A80" s="147" t="inlineStr">
        <is>
          <t>Semiconductor Equip</t>
        </is>
      </c>
      <c r="B80" s="268" t="n">
        <v>391</v>
      </c>
      <c r="C80" s="482" t="n">
        <v>0.1108540569395017</v>
      </c>
      <c r="D80" s="482" t="n">
        <v>0.2027990959163544</v>
      </c>
      <c r="E80" s="482" t="n">
        <v>0.171563243909878</v>
      </c>
      <c r="F80" s="482" t="n">
        <v>0.1909833978132411</v>
      </c>
      <c r="G80" s="483" t="n">
        <v>2.117251565837131</v>
      </c>
      <c r="H80" s="483" t="n">
        <v>2.125766710261747</v>
      </c>
      <c r="I80" s="482" t="n">
        <v>0.1591806657877364</v>
      </c>
      <c r="J80" s="482" t="n">
        <v>0.4598911785520198</v>
      </c>
      <c r="K80" s="482" t="n">
        <v>0.060013</v>
      </c>
      <c r="L80" s="482" t="n">
        <v>0.05311171292421026</v>
      </c>
      <c r="M80" s="482" t="n">
        <v>0.1531050595291814</v>
      </c>
      <c r="N80" s="483" t="n">
        <v>1.233775487070035</v>
      </c>
      <c r="O80" s="483" t="n">
        <v>6.940079537513276</v>
      </c>
      <c r="P80" s="483" t="n">
        <v>25.66213960211013</v>
      </c>
      <c r="Q80" s="483" t="n">
        <v>32.99726451885536</v>
      </c>
      <c r="R80" s="483" t="n">
        <v>7.184034302856302</v>
      </c>
      <c r="S80" s="483" t="n">
        <v>117.9121271542234</v>
      </c>
      <c r="T80" s="482" t="n">
        <v>0.3059977550033087</v>
      </c>
      <c r="U80" s="482" t="n">
        <v>0.08520263785374678</v>
      </c>
      <c r="V80" s="482" t="n">
        <v>0.05618238229609543</v>
      </c>
      <c r="W80" s="482" t="n">
        <v>0.4892631701134272</v>
      </c>
      <c r="X80" s="482" t="n">
        <v>0.1971531272371012</v>
      </c>
      <c r="Y80" s="482" t="n">
        <v>0.3116163851548842</v>
      </c>
      <c r="Z80" s="482" t="n">
        <v>0.3116163851548842</v>
      </c>
      <c r="AA80" s="484" t="n">
        <v>0.2097964869625374</v>
      </c>
    </row>
    <row r="81" customFormat="1" s="138">
      <c r="A81" s="147" t="inlineStr">
        <is>
          <t>Shipbuilding &amp; Marine</t>
        </is>
      </c>
      <c r="B81" s="268" t="n">
        <v>359</v>
      </c>
      <c r="C81" s="482" t="n">
        <v>0.09747634408602146</v>
      </c>
      <c r="D81" s="482" t="n">
        <v>0.1434449122081565</v>
      </c>
      <c r="E81" s="482" t="n">
        <v>0.08841408706345948</v>
      </c>
      <c r="F81" s="482" t="n">
        <v>0.1402060232865289</v>
      </c>
      <c r="G81" s="483" t="n">
        <v>0.7871248113700747</v>
      </c>
      <c r="H81" s="483" t="n">
        <v>0.8743989647644601</v>
      </c>
      <c r="I81" s="482" t="n">
        <v>0.08872866171623911</v>
      </c>
      <c r="J81" s="482" t="n">
        <v>0.3378114092685288</v>
      </c>
      <c r="K81" s="482" t="n">
        <v>0.057772</v>
      </c>
      <c r="L81" s="482" t="n">
        <v>0.2942556938567827</v>
      </c>
      <c r="M81" s="482" t="n">
        <v>0.07530665371926563</v>
      </c>
      <c r="N81" s="483" t="n">
        <v>0.7136553229172714</v>
      </c>
      <c r="O81" s="483" t="n">
        <v>1.616065969453053</v>
      </c>
      <c r="P81" s="483" t="n">
        <v>7.474116154633957</v>
      </c>
      <c r="Q81" s="483" t="n">
        <v>10.97448843651818</v>
      </c>
      <c r="R81" s="483" t="n">
        <v>0.9971256402508936</v>
      </c>
      <c r="S81" s="483" t="n">
        <v>21.24934090695505</v>
      </c>
      <c r="T81" s="482" t="n">
        <v>-0.01255509811130327</v>
      </c>
      <c r="U81" s="482" t="n">
        <v>0.1157271668362315</v>
      </c>
      <c r="V81" s="482" t="n">
        <v>0.05892678659352511</v>
      </c>
      <c r="W81" s="482" t="n">
        <v>0.4762215696540864</v>
      </c>
      <c r="X81" s="482" t="n">
        <v>0.1140058142952867</v>
      </c>
      <c r="Y81" s="482" t="n">
        <v>0.558338983231167</v>
      </c>
      <c r="Z81" s="482" t="n">
        <v>0.558338983231167</v>
      </c>
      <c r="AA81" s="484" t="n">
        <v>0.1463274696072858</v>
      </c>
    </row>
    <row r="82" customFormat="1" s="138">
      <c r="A82" s="147" t="inlineStr">
        <is>
          <t>Shoe</t>
        </is>
      </c>
      <c r="B82" s="268" t="n">
        <v>84</v>
      </c>
      <c r="C82" s="482" t="n">
        <v>0.06383772727272728</v>
      </c>
      <c r="D82" s="482" t="n">
        <v>0.08803540824690881</v>
      </c>
      <c r="E82" s="482" t="n">
        <v>0.1529177894508127</v>
      </c>
      <c r="F82" s="482" t="n">
        <v>0.2144747131020382</v>
      </c>
      <c r="G82" s="483" t="n">
        <v>0.8938187049899886</v>
      </c>
      <c r="H82" s="483" t="n">
        <v>0.9183732849112812</v>
      </c>
      <c r="I82" s="482" t="n">
        <v>0.09120441594050513</v>
      </c>
      <c r="J82" s="482" t="n">
        <v>0.4242228022159766</v>
      </c>
      <c r="K82" s="482" t="n">
        <v>0.057772</v>
      </c>
      <c r="L82" s="482" t="n">
        <v>0.1250635703750987</v>
      </c>
      <c r="M82" s="482" t="n">
        <v>0.08519021235121813</v>
      </c>
      <c r="N82" s="483" t="n">
        <v>2.114924026927135</v>
      </c>
      <c r="O82" s="483" t="n">
        <v>1.7476230502879</v>
      </c>
      <c r="P82" s="483" t="n">
        <v>14.66784277019671</v>
      </c>
      <c r="Q82" s="483" t="n">
        <v>19.56630235116958</v>
      </c>
      <c r="R82" s="483" t="n">
        <v>3.652912586710069</v>
      </c>
      <c r="S82" s="483" t="n">
        <v>38.53380105170844</v>
      </c>
      <c r="T82" s="482" t="n">
        <v>0.1749571074129782</v>
      </c>
      <c r="U82" s="482" t="n">
        <v>0.02026269685847257</v>
      </c>
      <c r="V82" s="482" t="n">
        <v>0.003354255980206194</v>
      </c>
      <c r="W82" s="482" t="n">
        <v>0.1516251397504969</v>
      </c>
      <c r="X82" s="482" t="n">
        <v>0.1400225864686223</v>
      </c>
      <c r="Y82" s="482" t="n">
        <v>0.6354480233479911</v>
      </c>
      <c r="Z82" s="482" t="n">
        <v>0.6354480233479911</v>
      </c>
      <c r="AA82" s="484" t="n">
        <v>0.08902140846782168</v>
      </c>
    </row>
    <row r="83" customFormat="1" s="138">
      <c r="A83" s="147" t="inlineStr">
        <is>
          <t>Software (Entertainment)</t>
        </is>
      </c>
      <c r="B83" s="268" t="n">
        <v>298</v>
      </c>
      <c r="C83" s="482" t="n">
        <v>0.1652429999999999</v>
      </c>
      <c r="D83" s="482" t="n">
        <v>0.3189527278025692</v>
      </c>
      <c r="E83" s="482" t="n">
        <v>0.2283361152332571</v>
      </c>
      <c r="F83" s="482" t="n">
        <v>0.2151242333555971</v>
      </c>
      <c r="G83" s="483" t="n">
        <v>1.23463309831149</v>
      </c>
      <c r="H83" s="483" t="n">
        <v>1.246407316079466</v>
      </c>
      <c r="I83" s="482" t="n">
        <v>0.109672731895274</v>
      </c>
      <c r="J83" s="482" t="n">
        <v>0.4930747454240414</v>
      </c>
      <c r="K83" s="482" t="n">
        <v>0.060013</v>
      </c>
      <c r="L83" s="482" t="n">
        <v>0.03041579912358255</v>
      </c>
      <c r="M83" s="482" t="n">
        <v>0.1076992018568101</v>
      </c>
      <c r="N83" s="483" t="n">
        <v>1.150202431881667</v>
      </c>
      <c r="O83" s="483" t="n">
        <v>8.328991136213514</v>
      </c>
      <c r="P83" s="483" t="n">
        <v>21.4288117410939</v>
      </c>
      <c r="Q83" s="483" t="n">
        <v>26.06670254673476</v>
      </c>
      <c r="R83" s="483" t="n">
        <v>7.294809182043607</v>
      </c>
      <c r="S83" s="483" t="n">
        <v>62.42873043410408</v>
      </c>
      <c r="T83" s="482" t="n">
        <v>0.0372555968313419</v>
      </c>
      <c r="U83" s="482" t="n">
        <v>0.1971109759000322</v>
      </c>
      <c r="V83" s="482" t="n">
        <v>0.1662662377806728</v>
      </c>
      <c r="W83" s="482" t="n">
        <v>0.7094863280431506</v>
      </c>
      <c r="X83" s="482" t="n">
        <v>0.3097957226923077</v>
      </c>
      <c r="Y83" s="482" t="n">
        <v>0.103147544117986</v>
      </c>
      <c r="Z83" s="482" t="n">
        <v>0.103147544117986</v>
      </c>
      <c r="AA83" s="484" t="n">
        <v>0.338171357266121</v>
      </c>
    </row>
    <row r="84" customFormat="1" s="138">
      <c r="A84" s="147" t="inlineStr">
        <is>
          <t>Software (Internet)</t>
        </is>
      </c>
      <c r="B84" s="268" t="n">
        <v>150</v>
      </c>
      <c r="C84" s="482" t="n">
        <v>0.140739633027523</v>
      </c>
      <c r="D84" s="482" t="n">
        <v>0.0616769875895596</v>
      </c>
      <c r="E84" s="482" t="n">
        <v>0.05780212413228354</v>
      </c>
      <c r="F84" s="482" t="n">
        <v>0.1617482938988749</v>
      </c>
      <c r="G84" s="483" t="n">
        <v>1.337040006342187</v>
      </c>
      <c r="H84" s="483" t="n">
        <v>1.392131688617691</v>
      </c>
      <c r="I84" s="482" t="n">
        <v>0.117877014069176</v>
      </c>
      <c r="J84" s="482" t="n">
        <v>0.4848634561992031</v>
      </c>
      <c r="K84" s="482" t="n">
        <v>0.060013</v>
      </c>
      <c r="L84" s="482" t="n">
        <v>0.09101234563085206</v>
      </c>
      <c r="M84" s="482" t="n">
        <v>0.1112249843281137</v>
      </c>
      <c r="N84" s="483" t="n">
        <v>1.400643007345897</v>
      </c>
      <c r="O84" s="483" t="n">
        <v>7.728498123638001</v>
      </c>
      <c r="P84" s="483" t="n">
        <v>40.55071889794711</v>
      </c>
      <c r="Q84" s="483" t="n">
        <v>104.4299150887297</v>
      </c>
      <c r="R84" s="483" t="n">
        <v>10.21009456111655</v>
      </c>
      <c r="S84" s="483" t="n">
        <v>99.39265566860605</v>
      </c>
      <c r="T84" s="482" t="n">
        <v>0.06846142891124993</v>
      </c>
      <c r="U84" s="482" t="n">
        <v>0.198776629848601</v>
      </c>
      <c r="V84" s="482" t="n">
        <v>0.1524050524523086</v>
      </c>
      <c r="W84" s="482" t="n">
        <v>3.724090077473796</v>
      </c>
      <c r="X84" s="482" t="n">
        <v>0.05999483621830692</v>
      </c>
      <c r="Y84" s="482" t="n">
        <v>0.2990646407137599</v>
      </c>
      <c r="Z84" s="482" t="n">
        <v>0.2990646407137598</v>
      </c>
      <c r="AA84" s="484" t="n">
        <v>0.06772778712070673</v>
      </c>
    </row>
    <row r="85" customFormat="1" s="138">
      <c r="A85" s="147" t="inlineStr">
        <is>
          <t>Software (System &amp; Application)</t>
        </is>
      </c>
      <c r="B85" s="268" t="n">
        <v>1532</v>
      </c>
      <c r="C85" s="482" t="n">
        <v>0.1484352099031216</v>
      </c>
      <c r="D85" s="482" t="n">
        <v>0.2740887358861202</v>
      </c>
      <c r="E85" s="482" t="n">
        <v>0.2372451641796658</v>
      </c>
      <c r="F85" s="482" t="n">
        <v>0.1867189744939688</v>
      </c>
      <c r="G85" s="483" t="n">
        <v>1.330950254941355</v>
      </c>
      <c r="H85" s="483" t="n">
        <v>1.353955269445132</v>
      </c>
      <c r="I85" s="482" t="n">
        <v>0.115727681669761</v>
      </c>
      <c r="J85" s="482" t="n">
        <v>0.5094211917641069</v>
      </c>
      <c r="K85" s="482" t="n">
        <v>0.060013</v>
      </c>
      <c r="L85" s="482" t="n">
        <v>0.05513843149564145</v>
      </c>
      <c r="M85" s="482" t="n">
        <v>0.1118161624549238</v>
      </c>
      <c r="N85" s="483" t="n">
        <v>1.543213630991605</v>
      </c>
      <c r="O85" s="483" t="n">
        <v>9.912802757717099</v>
      </c>
      <c r="P85" s="483" t="n">
        <v>24.63946512110707</v>
      </c>
      <c r="Q85" s="483" t="n">
        <v>33.19339627195448</v>
      </c>
      <c r="R85" s="483" t="n">
        <v>8.198149501144265</v>
      </c>
      <c r="S85" s="483" t="n">
        <v>87.91850894770006</v>
      </c>
      <c r="T85" s="482" t="n">
        <v>0.1241262628704805</v>
      </c>
      <c r="U85" s="482" t="n">
        <v>0.1469930588225436</v>
      </c>
      <c r="V85" s="482" t="n">
        <v>0.1493594887040754</v>
      </c>
      <c r="W85" s="482" t="n">
        <v>0.7762651160918049</v>
      </c>
      <c r="X85" s="482" t="n">
        <v>0.2367235365270739</v>
      </c>
      <c r="Y85" s="482" t="n">
        <v>0.2408495185612005</v>
      </c>
      <c r="Z85" s="482" t="n">
        <v>0.2408495185612005</v>
      </c>
      <c r="AA85" s="484" t="n">
        <v>0.2889025672388839</v>
      </c>
    </row>
    <row r="86" customFormat="1" s="138">
      <c r="A86" s="147" t="inlineStr">
        <is>
          <t>Steel</t>
        </is>
      </c>
      <c r="B86" s="268" t="n">
        <v>719</v>
      </c>
      <c r="C86" s="482" t="n">
        <v>0.1138502972027972</v>
      </c>
      <c r="D86" s="482" t="n">
        <v>0.04850844690028933</v>
      </c>
      <c r="E86" s="482" t="n">
        <v>0.05094706351887338</v>
      </c>
      <c r="F86" s="482" t="n">
        <v>0.2550403440388771</v>
      </c>
      <c r="G86" s="483" t="n">
        <v>0.929347814691143</v>
      </c>
      <c r="H86" s="483" t="n">
        <v>1.128858237850021</v>
      </c>
      <c r="I86" s="482" t="n">
        <v>0.1030547187909562</v>
      </c>
      <c r="J86" s="482" t="n">
        <v>0.3769551408811282</v>
      </c>
      <c r="K86" s="482" t="n">
        <v>0.057772</v>
      </c>
      <c r="L86" s="482" t="n">
        <v>0.3212772182949192</v>
      </c>
      <c r="M86" s="482" t="n">
        <v>0.08379753093554845</v>
      </c>
      <c r="N86" s="483" t="n">
        <v>1.259643372371044</v>
      </c>
      <c r="O86" s="483" t="n">
        <v>0.9491330627667011</v>
      </c>
      <c r="P86" s="483" t="n">
        <v>8.99375202753227</v>
      </c>
      <c r="Q86" s="483" t="n">
        <v>18.36966721395151</v>
      </c>
      <c r="R86" s="483" t="n">
        <v>1.09506139482338</v>
      </c>
      <c r="S86" s="483" t="n">
        <v>42.37550772705778</v>
      </c>
      <c r="T86" s="482" t="n">
        <v>0.1413357605410273</v>
      </c>
      <c r="U86" s="482" t="n">
        <v>0.06647679927972518</v>
      </c>
      <c r="V86" s="482" t="n">
        <v>0.03750561477239866</v>
      </c>
      <c r="W86" s="482" t="n">
        <v>0.9636592543248719</v>
      </c>
      <c r="X86" s="482" t="n">
        <v>0.03952885592461267</v>
      </c>
      <c r="Y86" s="482" t="n">
        <v>0.8715111712945877</v>
      </c>
      <c r="Z86" s="482" t="n">
        <v>0.8715111712945877</v>
      </c>
      <c r="AA86" s="484" t="n">
        <v>0.04892894390772499</v>
      </c>
    </row>
    <row r="87" customFormat="1" s="138">
      <c r="A87" s="147" t="inlineStr">
        <is>
          <t>Telecom (Wireless)</t>
        </is>
      </c>
      <c r="B87" s="268" t="n">
        <v>101</v>
      </c>
      <c r="C87" s="482" t="n">
        <v>0.04952219512195122</v>
      </c>
      <c r="D87" s="482" t="n">
        <v>0.1582909754560217</v>
      </c>
      <c r="E87" s="482" t="n">
        <v>0.09293603514650267</v>
      </c>
      <c r="F87" s="482" t="n">
        <v>0.1984374430147504</v>
      </c>
      <c r="G87" s="483" t="n">
        <v>0.6028420822440717</v>
      </c>
      <c r="H87" s="483" t="n">
        <v>0.7824176683719886</v>
      </c>
      <c r="I87" s="482" t="n">
        <v>0.08355011472934296</v>
      </c>
      <c r="J87" s="482" t="n">
        <v>0.2826473785854386</v>
      </c>
      <c r="K87" s="482" t="n">
        <v>0.054406</v>
      </c>
      <c r="L87" s="482" t="n">
        <v>0.3331889456807965</v>
      </c>
      <c r="M87" s="482" t="n">
        <v>0.06924067675741442</v>
      </c>
      <c r="N87" s="483" t="n">
        <v>0.7158335256276035</v>
      </c>
      <c r="O87" s="483" t="n">
        <v>2.607189379129544</v>
      </c>
      <c r="P87" s="483" t="n">
        <v>8.424129392830098</v>
      </c>
      <c r="Q87" s="483" t="n">
        <v>16.5246883356161</v>
      </c>
      <c r="R87" s="483" t="n">
        <v>1.846120495179422</v>
      </c>
      <c r="S87" s="483" t="n">
        <v>47.84077632678409</v>
      </c>
      <c r="T87" s="482" t="n">
        <v>-0.134664697853598</v>
      </c>
      <c r="U87" s="482" t="n">
        <v>0.1347406909608523</v>
      </c>
      <c r="V87" s="482" t="n">
        <v>0.03328201745158078</v>
      </c>
      <c r="W87" s="482" t="n">
        <v>0.4724088230778706</v>
      </c>
      <c r="X87" s="482" t="n">
        <v>0.1345286780614446</v>
      </c>
      <c r="Y87" s="482" t="n">
        <v>0.5443295364296177</v>
      </c>
      <c r="Z87" s="482" t="n">
        <v>0.5443295364296177</v>
      </c>
      <c r="AA87" s="484" t="n">
        <v>0.1605833845923413</v>
      </c>
    </row>
    <row r="88" customFormat="1" s="138">
      <c r="A88" s="147" t="inlineStr">
        <is>
          <t>Telecom. Equipment</t>
        </is>
      </c>
      <c r="B88" s="268" t="n">
        <v>437</v>
      </c>
      <c r="C88" s="482" t="n">
        <v>0.05152247956403265</v>
      </c>
      <c r="D88" s="482" t="n">
        <v>0.1102712799217096</v>
      </c>
      <c r="E88" s="482" t="n">
        <v>0.1272808640403569</v>
      </c>
      <c r="F88" s="482" t="n">
        <v>0.1764514699121109</v>
      </c>
      <c r="G88" s="483" t="n">
        <v>1.29793213071035</v>
      </c>
      <c r="H88" s="483" t="n">
        <v>1.327918509598088</v>
      </c>
      <c r="I88" s="482" t="n">
        <v>0.1142618120903723</v>
      </c>
      <c r="J88" s="482" t="n">
        <v>0.4696556984456923</v>
      </c>
      <c r="K88" s="482" t="n">
        <v>0.060013</v>
      </c>
      <c r="L88" s="482" t="n">
        <v>0.08779880078294834</v>
      </c>
      <c r="M88" s="482" t="n">
        <v>0.1081620685301952</v>
      </c>
      <c r="N88" s="483" t="n">
        <v>2.050737897247834</v>
      </c>
      <c r="O88" s="483" t="n">
        <v>4.106000735586163</v>
      </c>
      <c r="P88" s="483" t="n">
        <v>24.95097520949019</v>
      </c>
      <c r="Q88" s="483" t="n">
        <v>34.43393810986509</v>
      </c>
      <c r="R88" s="483" t="n">
        <v>5.889119684088354</v>
      </c>
      <c r="S88" s="483" t="n">
        <v>125.4510276756533</v>
      </c>
      <c r="T88" s="482" t="n">
        <v>0.2113003245938962</v>
      </c>
      <c r="U88" s="482" t="n">
        <v>0.03117764683136303</v>
      </c>
      <c r="V88" s="482" t="n">
        <v>0.04186177354360884</v>
      </c>
      <c r="W88" s="482" t="n">
        <v>0.5416344395698802</v>
      </c>
      <c r="X88" s="482" t="n">
        <v>0.14062262992428</v>
      </c>
      <c r="Y88" s="482" t="n">
        <v>0.4951604413131582</v>
      </c>
      <c r="Z88" s="482" t="n">
        <v>0.4951604413131583</v>
      </c>
      <c r="AA88" s="484" t="n">
        <v>0.117884567036838</v>
      </c>
    </row>
    <row r="89" customFormat="1" s="138">
      <c r="A89" s="147" t="inlineStr">
        <is>
          <t>Telecom. Services</t>
        </is>
      </c>
      <c r="B89" s="268" t="n">
        <v>283</v>
      </c>
      <c r="C89" s="482" t="n">
        <v>0.07276163551401871</v>
      </c>
      <c r="D89" s="482" t="n">
        <v>0.1609261886984611</v>
      </c>
      <c r="E89" s="482" t="n">
        <v>0.0987270863692802</v>
      </c>
      <c r="F89" s="482" t="n">
        <v>0.2201688874755019</v>
      </c>
      <c r="G89" s="483" t="n">
        <v>0.4962557168204669</v>
      </c>
      <c r="H89" s="483" t="n">
        <v>0.7289777763741335</v>
      </c>
      <c r="I89" s="482" t="n">
        <v>0.08054144880986372</v>
      </c>
      <c r="J89" s="482" t="n">
        <v>0.3752660749854421</v>
      </c>
      <c r="K89" s="482" t="n">
        <v>0.057772</v>
      </c>
      <c r="L89" s="482" t="n">
        <v>0.4225691783922377</v>
      </c>
      <c r="M89" s="482" t="n">
        <v>0.06472628802399233</v>
      </c>
      <c r="N89" s="483" t="n">
        <v>0.7258353360688489</v>
      </c>
      <c r="O89" s="483" t="n">
        <v>2.263007784445871</v>
      </c>
      <c r="P89" s="483" t="n">
        <v>7.054086222833386</v>
      </c>
      <c r="Q89" s="483" t="n">
        <v>13.70472591740461</v>
      </c>
      <c r="R89" s="483" t="n">
        <v>1.622142746830673</v>
      </c>
      <c r="S89" s="483" t="n">
        <v>46.10553580157311</v>
      </c>
      <c r="T89" s="482" t="n">
        <v>0.007717252061060532</v>
      </c>
      <c r="U89" s="482" t="n">
        <v>0.139959515489868</v>
      </c>
      <c r="V89" s="482" t="n">
        <v>-0.0122035965388983</v>
      </c>
      <c r="W89" s="482" t="n">
        <v>-0.05144871961953255</v>
      </c>
      <c r="X89" s="482" t="n">
        <v>0.1279252841359927</v>
      </c>
      <c r="Y89" s="482" t="n">
        <v>0.5954658802823757</v>
      </c>
      <c r="Z89" s="482" t="n">
        <v>0.5954658802823757</v>
      </c>
      <c r="AA89" s="484" t="n">
        <v>0.1630824109533077</v>
      </c>
    </row>
    <row r="90" customFormat="1" s="138">
      <c r="A90" s="147" t="inlineStr">
        <is>
          <t>Tobacco</t>
        </is>
      </c>
      <c r="B90" s="268" t="n">
        <v>48</v>
      </c>
      <c r="C90" s="482" t="n">
        <v>0.1982317073170732</v>
      </c>
      <c r="D90" s="482" t="n">
        <v>0.3266870167163969</v>
      </c>
      <c r="E90" s="482" t="n">
        <v>0.2416713340996142</v>
      </c>
      <c r="F90" s="482" t="n">
        <v>0.2206553467967175</v>
      </c>
      <c r="G90" s="483" t="n">
        <v>0.3743139650447623</v>
      </c>
      <c r="H90" s="483" t="n">
        <v>0.4272798643267071</v>
      </c>
      <c r="I90" s="482" t="n">
        <v>0.06355585636159361</v>
      </c>
      <c r="J90" s="482" t="n">
        <v>0.4049586219691881</v>
      </c>
      <c r="K90" s="482" t="n">
        <v>0.057772</v>
      </c>
      <c r="L90" s="482" t="n">
        <v>0.1913442300472008</v>
      </c>
      <c r="M90" s="482" t="n">
        <v>0.05964466305103349</v>
      </c>
      <c r="N90" s="483" t="n">
        <v>0.9566828136750641</v>
      </c>
      <c r="O90" s="483" t="n">
        <v>4.446776627478958</v>
      </c>
      <c r="P90" s="483" t="n">
        <v>11.99660792162503</v>
      </c>
      <c r="Q90" s="483" t="n">
        <v>13.5739419840982</v>
      </c>
      <c r="R90" s="483" t="n">
        <v>5.633398746074878</v>
      </c>
      <c r="S90" s="483" t="n">
        <v>20.53829554319265</v>
      </c>
      <c r="T90" s="482" t="n">
        <v>0.1616143862536215</v>
      </c>
      <c r="U90" s="482" t="n">
        <v>0.02557537367897066</v>
      </c>
      <c r="V90" s="482" t="n">
        <v>-0.001211823992404622</v>
      </c>
      <c r="W90" s="482" t="n">
        <v>0.08099929640135162</v>
      </c>
      <c r="X90" s="482" t="n">
        <v>0.2863699685436205</v>
      </c>
      <c r="Y90" s="482" t="n">
        <v>0.8995574138170501</v>
      </c>
      <c r="Z90" s="482" t="n">
        <v>0.8995574138170501</v>
      </c>
      <c r="AA90" s="484" t="n">
        <v>0.3273704047044008</v>
      </c>
    </row>
    <row r="91" customFormat="1" s="138">
      <c r="A91" s="147" t="inlineStr">
        <is>
          <t>Transportation</t>
        </is>
      </c>
      <c r="B91" s="268" t="n">
        <v>451</v>
      </c>
      <c r="C91" s="482" t="n">
        <v>0.08420713375796175</v>
      </c>
      <c r="D91" s="482" t="n">
        <v>0.07214058509980592</v>
      </c>
      <c r="E91" s="482" t="n">
        <v>0.086620383576458</v>
      </c>
      <c r="F91" s="482" t="n">
        <v>0.210765194118547</v>
      </c>
      <c r="G91" s="483" t="n">
        <v>0.7474630967654462</v>
      </c>
      <c r="H91" s="483" t="n">
        <v>0.9638627393739637</v>
      </c>
      <c r="I91" s="482" t="n">
        <v>0.09376547222675416</v>
      </c>
      <c r="J91" s="482" t="n">
        <v>0.3685923699078531</v>
      </c>
      <c r="K91" s="482" t="n">
        <v>0.057772</v>
      </c>
      <c r="L91" s="482" t="n">
        <v>0.3484061280072251</v>
      </c>
      <c r="M91" s="482" t="n">
        <v>0.07611862218822603</v>
      </c>
      <c r="N91" s="483" t="n">
        <v>1.475042037933486</v>
      </c>
      <c r="O91" s="483" t="n">
        <v>1.318488523602003</v>
      </c>
      <c r="P91" s="483" t="n">
        <v>11.1838533241064</v>
      </c>
      <c r="Q91" s="483" t="n">
        <v>17.93560379143945</v>
      </c>
      <c r="R91" s="483" t="n">
        <v>2.081012974551982</v>
      </c>
      <c r="S91" s="483" t="n">
        <v>66.79243852767331</v>
      </c>
      <c r="T91" s="482" t="n">
        <v>0.04824455000621122</v>
      </c>
      <c r="U91" s="482" t="n">
        <v>0.04312421086113512</v>
      </c>
      <c r="V91" s="482" t="n">
        <v>0.02359889540313169</v>
      </c>
      <c r="W91" s="482" t="n">
        <v>0.5079172767379062</v>
      </c>
      <c r="X91" s="482" t="n">
        <v>0.1403274678314904</v>
      </c>
      <c r="Y91" s="482" t="n">
        <v>0.4709999390635842</v>
      </c>
      <c r="Z91" s="482" t="n">
        <v>0.4709999390635842</v>
      </c>
      <c r="AA91" s="484" t="n">
        <v>0.07307764020651038</v>
      </c>
    </row>
    <row r="92" customFormat="1" s="138">
      <c r="A92" s="147" t="inlineStr">
        <is>
          <t>Transportation (Railroads)</t>
        </is>
      </c>
      <c r="B92" s="268" t="n">
        <v>54</v>
      </c>
      <c r="C92" s="482" t="n">
        <v>0.06665086956521737</v>
      </c>
      <c r="D92" s="482" t="n">
        <v>0.2345234588972128</v>
      </c>
      <c r="E92" s="482" t="n">
        <v>0.0778672810557345</v>
      </c>
      <c r="F92" s="482" t="n">
        <v>0.2470147746803744</v>
      </c>
      <c r="G92" s="483" t="n">
        <v>0.5543601703442842</v>
      </c>
      <c r="H92" s="483" t="n">
        <v>0.7199789317393676</v>
      </c>
      <c r="I92" s="482" t="n">
        <v>0.0800348138569264</v>
      </c>
      <c r="J92" s="482" t="n">
        <v>0.2288012233873055</v>
      </c>
      <c r="K92" s="482" t="n">
        <v>0.054406</v>
      </c>
      <c r="L92" s="482" t="n">
        <v>0.3217639257274497</v>
      </c>
      <c r="M92" s="482" t="n">
        <v>0.06734714227667223</v>
      </c>
      <c r="N92" s="483" t="n">
        <v>0.434711523713422</v>
      </c>
      <c r="O92" s="483" t="n">
        <v>3.77796352334556</v>
      </c>
      <c r="P92" s="483" t="n">
        <v>10.93533213574872</v>
      </c>
      <c r="Q92" s="483" t="n">
        <v>15.89581690287881</v>
      </c>
      <c r="R92" s="483" t="n">
        <v>1.909799618494047</v>
      </c>
      <c r="S92" s="483" t="n">
        <v>39.79859766148373</v>
      </c>
      <c r="T92" s="482" t="n">
        <v>0.07263191591482737</v>
      </c>
      <c r="U92" s="482" t="n">
        <v>0.1782685123650716</v>
      </c>
      <c r="V92" s="482" t="n">
        <v>0.111062437067021</v>
      </c>
      <c r="W92" s="482" t="n">
        <v>0.6784583106756248</v>
      </c>
      <c r="X92" s="482" t="n">
        <v>0.1230695452667313</v>
      </c>
      <c r="Y92" s="482" t="n">
        <v>0.391311166955554</v>
      </c>
      <c r="Z92" s="482" t="n">
        <v>0.391311166955554</v>
      </c>
      <c r="AA92" s="484" t="n">
        <v>0.236482406260752</v>
      </c>
    </row>
    <row r="93" customFormat="1" s="138">
      <c r="A93" s="147" t="inlineStr">
        <is>
          <t>Trucking</t>
        </is>
      </c>
      <c r="B93" s="268" t="n">
        <v>130</v>
      </c>
      <c r="C93" s="482" t="n">
        <v>0.07890906976744189</v>
      </c>
      <c r="D93" s="482" t="n">
        <v>0.07445277969940023</v>
      </c>
      <c r="E93" s="482" t="n">
        <v>0.08435475076105046</v>
      </c>
      <c r="F93" s="482" t="n">
        <v>0.2610157077538672</v>
      </c>
      <c r="G93" s="483" t="n">
        <v>0.6772463794887177</v>
      </c>
      <c r="H93" s="483" t="n">
        <v>0.8497807821021479</v>
      </c>
      <c r="I93" s="482" t="n">
        <v>0.08734265803235093</v>
      </c>
      <c r="J93" s="482" t="n">
        <v>0.3832852261285716</v>
      </c>
      <c r="K93" s="482" t="n">
        <v>0.057772</v>
      </c>
      <c r="L93" s="482" t="n">
        <v>0.2850734894354313</v>
      </c>
      <c r="M93" s="482" t="n">
        <v>0.0747345946714137</v>
      </c>
      <c r="N93" s="483" t="n">
        <v>1.369006872019866</v>
      </c>
      <c r="O93" s="483" t="n">
        <v>1.50569269801898</v>
      </c>
      <c r="P93" s="483" t="n">
        <v>9.612106472581209</v>
      </c>
      <c r="Q93" s="483" t="n">
        <v>19.42543073309243</v>
      </c>
      <c r="R93" s="483" t="n">
        <v>2.373438887807801</v>
      </c>
      <c r="S93" s="483" t="n">
        <v>29.30089156223544</v>
      </c>
      <c r="T93" s="482" t="n">
        <v>0.06996650952491135</v>
      </c>
      <c r="U93" s="482" t="n">
        <v>0.09697594584506919</v>
      </c>
      <c r="V93" s="482" t="n">
        <v>0.03711283696523321</v>
      </c>
      <c r="W93" s="482" t="n">
        <v>0.6870381054273443</v>
      </c>
      <c r="X93" s="482" t="n">
        <v>0.07199658891313906</v>
      </c>
      <c r="Y93" s="482" t="n">
        <v>0.3760711892933731</v>
      </c>
      <c r="Z93" s="482" t="n">
        <v>0.3760711892933731</v>
      </c>
      <c r="AA93" s="484" t="n">
        <v>0.07736761543259557</v>
      </c>
    </row>
    <row r="94" customFormat="1" s="138">
      <c r="A94" s="147" t="inlineStr">
        <is>
          <t>Utility (General)</t>
        </is>
      </c>
      <c r="B94" s="268" t="n">
        <v>52</v>
      </c>
      <c r="C94" s="482" t="n">
        <v>0.07534782608695653</v>
      </c>
      <c r="D94" s="482" t="n">
        <v>0.1522406261986824</v>
      </c>
      <c r="E94" s="482" t="n">
        <v>0.0799133728230514</v>
      </c>
      <c r="F94" s="482" t="n">
        <v>0.2071556701121892</v>
      </c>
      <c r="G94" s="483" t="n">
        <v>0.3343806185124047</v>
      </c>
      <c r="H94" s="483" t="n">
        <v>0.5038591187475229</v>
      </c>
      <c r="I94" s="482" t="n">
        <v>0.06786726838548554</v>
      </c>
      <c r="J94" s="482" t="n">
        <v>0.2073312261995846</v>
      </c>
      <c r="K94" s="482" t="n">
        <v>0.054406</v>
      </c>
      <c r="L94" s="482" t="n">
        <v>0.4325539214638348</v>
      </c>
      <c r="M94" s="482" t="n">
        <v>0.05607408773866698</v>
      </c>
      <c r="N94" s="483" t="n">
        <v>0.647788200877786</v>
      </c>
      <c r="O94" s="483" t="n">
        <v>2.54379132105459</v>
      </c>
      <c r="P94" s="483" t="n">
        <v>10.79665716175252</v>
      </c>
      <c r="Q94" s="483" t="n">
        <v>16.77322715552353</v>
      </c>
      <c r="R94" s="483" t="n">
        <v>1.720838188284137</v>
      </c>
      <c r="S94" s="483" t="n">
        <v>27.25553440996123</v>
      </c>
      <c r="T94" s="482" t="n">
        <v>0.02196299812586075</v>
      </c>
      <c r="U94" s="482" t="n">
        <v>0.2090185213303145</v>
      </c>
      <c r="V94" s="482" t="n">
        <v>0.129072712855883</v>
      </c>
      <c r="W94" s="482" t="n">
        <v>1.046040672045538</v>
      </c>
      <c r="X94" s="482" t="n">
        <v>0.1055259378644767</v>
      </c>
      <c r="Y94" s="482" t="n">
        <v>0.6830475351010875</v>
      </c>
      <c r="Z94" s="482" t="n">
        <v>0.6830475351010875</v>
      </c>
      <c r="AA94" s="484" t="n">
        <v>0.1517410165564171</v>
      </c>
    </row>
    <row r="95" customFormat="1" s="138">
      <c r="A95" s="147" t="inlineStr">
        <is>
          <t>Utility (Water)</t>
        </is>
      </c>
      <c r="B95" s="268" t="n">
        <v>106</v>
      </c>
      <c r="C95" s="482" t="n">
        <v>0.06059290697674419</v>
      </c>
      <c r="D95" s="482" t="n">
        <v>0.2659565753619052</v>
      </c>
      <c r="E95" s="482" t="n">
        <v>0.06530380330030684</v>
      </c>
      <c r="F95" s="482" t="n">
        <v>0.2113405184365469</v>
      </c>
      <c r="G95" s="483" t="n">
        <v>0.4453385304877626</v>
      </c>
      <c r="H95" s="483" t="n">
        <v>0.7045959106451266</v>
      </c>
      <c r="I95" s="482" t="n">
        <v>0.07916874976932063</v>
      </c>
      <c r="J95" s="482" t="n">
        <v>0.3348934032665305</v>
      </c>
      <c r="K95" s="482" t="n">
        <v>0.057772</v>
      </c>
      <c r="L95" s="482" t="n">
        <v>0.4771840377749467</v>
      </c>
      <c r="M95" s="482" t="n">
        <v>0.06196459211950026</v>
      </c>
      <c r="N95" s="483" t="n">
        <v>0.2930657217394863</v>
      </c>
      <c r="O95" s="483" t="n">
        <v>4.762558110589225</v>
      </c>
      <c r="P95" s="483" t="n">
        <v>11.89386665872409</v>
      </c>
      <c r="Q95" s="483" t="n">
        <v>17.67380678218877</v>
      </c>
      <c r="R95" s="483" t="n">
        <v>1.459736940525908</v>
      </c>
      <c r="S95" s="483" t="n">
        <v>30.51355826047945</v>
      </c>
      <c r="T95" s="482" t="n">
        <v>0.1537493203564604</v>
      </c>
      <c r="U95" s="482" t="n">
        <v>0.2520347451316794</v>
      </c>
      <c r="V95" s="482" t="n">
        <v>0.1541827376121511</v>
      </c>
      <c r="W95" s="482" t="n">
        <v>0.983185346532007</v>
      </c>
      <c r="X95" s="482" t="n">
        <v>0.118588401437598</v>
      </c>
      <c r="Y95" s="482" t="n">
        <v>0.6870015628183725</v>
      </c>
      <c r="Z95" s="482" t="n">
        <v>0.58874374230461</v>
      </c>
      <c r="AA95" s="484" t="n">
        <v>0.2663152579901115</v>
      </c>
    </row>
    <row r="96" ht="14" customHeight="1">
      <c r="A96" s="147" t="inlineStr">
        <is>
          <t>Total Market</t>
        </is>
      </c>
      <c r="B96" s="268" t="n">
        <v>48156</v>
      </c>
      <c r="C96" s="482" t="n">
        <v>0.1181341051494414</v>
      </c>
      <c r="D96" s="482" t="n">
        <v>0.1056018636795925</v>
      </c>
      <c r="E96" s="482" t="n">
        <v>0.06738830206060704</v>
      </c>
      <c r="F96" s="482" t="n">
        <v>0.2177233804377577</v>
      </c>
      <c r="G96" s="483" t="n">
        <v>0.8323164345801076</v>
      </c>
      <c r="H96" s="483" t="n">
        <v>1.040286407651103</v>
      </c>
      <c r="I96" s="482" t="n">
        <v>0.09806812475075713</v>
      </c>
      <c r="J96" s="482" t="n">
        <v>0.4206601978673363</v>
      </c>
      <c r="K96" s="482" t="n">
        <v>0.057772</v>
      </c>
      <c r="L96" s="482" t="n">
        <v>0.3398410005376712</v>
      </c>
      <c r="M96" s="482" t="n">
        <v>0.07939288263805609</v>
      </c>
      <c r="N96" s="483" t="n">
        <v>0.7614850673854209</v>
      </c>
      <c r="O96" s="483" t="n">
        <v>2.817108188279028</v>
      </c>
      <c r="P96" s="483" t="n">
        <v>14.73509327113196</v>
      </c>
      <c r="Q96" s="483" t="n">
        <v>21.71135023810825</v>
      </c>
      <c r="R96" s="483" t="n">
        <v>2.475429175984355</v>
      </c>
      <c r="S96" s="483" t="n">
        <v>70.46685655197233</v>
      </c>
      <c r="T96" s="482" t="n">
        <v>-1.251655557297299</v>
      </c>
      <c r="U96" s="482" t="n">
        <v>0.06347553232958515</v>
      </c>
      <c r="V96" s="482" t="n">
        <v>0.03746860512047286</v>
      </c>
      <c r="W96" s="482" t="n">
        <v>0.5071609876528498</v>
      </c>
      <c r="X96" s="482" t="n">
        <v>0.118588401437598</v>
      </c>
      <c r="Y96" s="482" t="n">
        <v>0.58874374230461</v>
      </c>
      <c r="Z96" s="482" t="n">
        <v>0.58874374230461</v>
      </c>
      <c r="AA96" s="484" t="n">
        <v>0.107094461186492</v>
      </c>
    </row>
    <row r="97" ht="14" customHeight="1">
      <c r="A97" s="147" t="inlineStr">
        <is>
          <t>Total Market (without financials)</t>
        </is>
      </c>
      <c r="B97" s="268" t="n">
        <v>43056</v>
      </c>
      <c r="C97" s="482" t="n">
        <v>0.1134444183934749</v>
      </c>
      <c r="D97" s="482" t="n">
        <v>0.1074766233628325</v>
      </c>
      <c r="E97" s="482" t="n">
        <v>0.1062304273693053</v>
      </c>
      <c r="F97" s="482" t="n">
        <v>0.2267048273164408</v>
      </c>
      <c r="G97" s="483" t="n">
        <v>0.9553636779709899</v>
      </c>
      <c r="H97" s="483" t="n">
        <v>1.077443010011765</v>
      </c>
      <c r="I97" s="482" t="n">
        <v>0.1001600414636624</v>
      </c>
      <c r="J97" s="482" t="n">
        <v>0.4302451990750313</v>
      </c>
      <c r="K97" s="482" t="n">
        <v>0.057772</v>
      </c>
      <c r="L97" s="482" t="n">
        <v>0.2060295248939992</v>
      </c>
      <c r="M97" s="482" t="n">
        <v>0.08840712886213781</v>
      </c>
      <c r="N97" s="483" t="n">
        <v>1.221430523945392</v>
      </c>
      <c r="O97" s="483" t="n">
        <v>2.33039405405412</v>
      </c>
      <c r="P97" s="483" t="n">
        <v>13.69724852932433</v>
      </c>
      <c r="Q97" s="483" t="n">
        <v>20.82640083253504</v>
      </c>
      <c r="R97" s="483" t="n">
        <v>2.922421262324884</v>
      </c>
      <c r="S97" s="483" t="n">
        <v>74.10626941647578</v>
      </c>
      <c r="T97" s="482" t="n">
        <v>0.1165711167994842</v>
      </c>
      <c r="U97" s="482" t="n">
        <v>0.06872745143348216</v>
      </c>
      <c r="V97" s="482" t="n">
        <v>0.03868570927984436</v>
      </c>
      <c r="W97" s="482" t="n">
        <v>0.5439380933156975</v>
      </c>
      <c r="X97" s="482" t="n">
        <v>0.1151947463251059</v>
      </c>
      <c r="Y97" s="482" t="n">
        <v>0.6905236694284442</v>
      </c>
      <c r="Z97" s="482" t="n">
        <v>0.6905236694284442</v>
      </c>
      <c r="AA97" s="484" t="n">
        <v>0.1091379860106882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V96"/>
  <sheetViews>
    <sheetView workbookViewId="0">
      <selection activeCell="D69" sqref="D69"/>
    </sheetView>
  </sheetViews>
  <sheetFormatPr baseColWidth="10" defaultRowHeight="13"/>
  <cols>
    <col width="41" customWidth="1" min="1" max="1"/>
    <col width="10.83203125" customWidth="1" style="657" min="2" max="2"/>
    <col width="14.83203125" customWidth="1" style="495" min="3" max="8"/>
    <col width="14.83203125" customWidth="1" style="674" min="9" max="11"/>
    <col width="14.83203125" customWidth="1" style="495" min="12" max="14"/>
    <col width="14.83203125" customWidth="1" style="674" min="15" max="17"/>
    <col width="14.83203125" customWidth="1" style="495" min="18" max="20"/>
  </cols>
  <sheetData>
    <row r="1" ht="16" customFormat="1" customHeight="1" s="2">
      <c r="A1" s="343" t="n"/>
      <c r="B1" s="493" t="n"/>
      <c r="C1" s="669" t="inlineStr">
        <is>
          <t>Revenue Growth Rate = Last 3 years</t>
        </is>
      </c>
      <c r="D1" s="729" t="n"/>
      <c r="E1" s="729" t="n"/>
      <c r="F1" s="669" t="inlineStr">
        <is>
          <t>Pre-tax Operating Margin</t>
        </is>
      </c>
      <c r="G1" s="729" t="n"/>
      <c r="H1" s="729" t="n"/>
      <c r="I1" s="658" t="inlineStr">
        <is>
          <t>Sales to Invested Capital</t>
        </is>
      </c>
      <c r="J1" s="729" t="n"/>
      <c r="K1" s="729" t="n"/>
      <c r="L1" s="669" t="inlineStr">
        <is>
          <t>Cost of Capital</t>
        </is>
      </c>
      <c r="M1" s="729" t="n"/>
      <c r="N1" s="729" t="n"/>
      <c r="O1" s="672" t="n"/>
      <c r="P1" s="672" t="inlineStr">
        <is>
          <t>Beta</t>
        </is>
      </c>
      <c r="Q1" s="672" t="n"/>
      <c r="R1" s="669" t="inlineStr">
        <is>
          <t>Debt to Capital Ratio</t>
        </is>
      </c>
      <c r="S1" s="729" t="n"/>
      <c r="T1" s="729" t="n"/>
    </row>
    <row r="2" ht="17" customHeight="1">
      <c r="A2" s="341" t="inlineStr">
        <is>
          <t>Industry Group</t>
        </is>
      </c>
      <c r="B2" s="342" t="inlineStr">
        <is>
          <t>count</t>
        </is>
      </c>
      <c r="C2" s="670" t="inlineStr">
        <is>
          <t>First Quartlie</t>
        </is>
      </c>
      <c r="D2" s="670" t="inlineStr">
        <is>
          <t>Median</t>
        </is>
      </c>
      <c r="E2" s="670" t="inlineStr">
        <is>
          <t>Third Quartile</t>
        </is>
      </c>
      <c r="F2" s="670" t="inlineStr">
        <is>
          <t>First Quartlie</t>
        </is>
      </c>
      <c r="G2" s="670" t="inlineStr">
        <is>
          <t>Median</t>
        </is>
      </c>
      <c r="H2" s="670" t="inlineStr">
        <is>
          <t>Third Quartile</t>
        </is>
      </c>
      <c r="I2" s="671" t="inlineStr">
        <is>
          <t>First Quartlie</t>
        </is>
      </c>
      <c r="J2" s="671" t="inlineStr">
        <is>
          <t>Median</t>
        </is>
      </c>
      <c r="K2" s="671" t="inlineStr">
        <is>
          <t>Third Quartile</t>
        </is>
      </c>
      <c r="L2" s="670" t="inlineStr">
        <is>
          <t>First Quartlie</t>
        </is>
      </c>
      <c r="M2" s="670" t="inlineStr">
        <is>
          <t>Median</t>
        </is>
      </c>
      <c r="N2" s="670" t="inlineStr">
        <is>
          <t>Third Quartile</t>
        </is>
      </c>
      <c r="O2" s="671" t="inlineStr">
        <is>
          <t>First Quartlie</t>
        </is>
      </c>
      <c r="P2" s="671" t="inlineStr">
        <is>
          <t>Median</t>
        </is>
      </c>
      <c r="Q2" s="671" t="inlineStr">
        <is>
          <t>Third Quartile</t>
        </is>
      </c>
      <c r="R2" s="670" t="inlineStr">
        <is>
          <t>First Quartlie</t>
        </is>
      </c>
      <c r="S2" s="670" t="inlineStr">
        <is>
          <t>Median</t>
        </is>
      </c>
      <c r="T2" s="670" t="inlineStr">
        <is>
          <t>Third Quartile</t>
        </is>
      </c>
    </row>
    <row r="3">
      <c r="A3" s="377" t="inlineStr">
        <is>
          <t>Advertising</t>
        </is>
      </c>
      <c r="B3" s="673" t="n">
        <v>419</v>
      </c>
      <c r="C3" s="495" t="n">
        <v>0.0105</v>
      </c>
      <c r="D3" s="495" t="n">
        <v>0.05930000000000001</v>
      </c>
      <c r="E3" s="495" t="n">
        <v>0.158</v>
      </c>
      <c r="F3" s="495" t="n">
        <v>-0.06551619028566504</v>
      </c>
      <c r="G3" s="495" t="n">
        <v>0.03695150115473442</v>
      </c>
      <c r="H3" s="495" t="n">
        <v>0.09777766582662865</v>
      </c>
      <c r="I3" s="674" t="n">
        <v>0.963855421686747</v>
      </c>
      <c r="J3" s="674" t="n">
        <v>2.407550077041603</v>
      </c>
      <c r="K3" s="674" t="n">
        <v>6.029850746268657</v>
      </c>
      <c r="L3" s="495" t="n">
        <v>0.08768368370202274</v>
      </c>
      <c r="M3" s="495" t="n">
        <v>0.09312686460552172</v>
      </c>
      <c r="N3" s="495" t="n">
        <v>0.09502570101925112</v>
      </c>
      <c r="O3" s="674" t="n">
        <v>0.5600357989517236</v>
      </c>
      <c r="P3" s="674" t="n">
        <v>1.13804370824361</v>
      </c>
      <c r="Q3" s="674" t="n">
        <v>1.834824262575412</v>
      </c>
      <c r="R3" s="495" t="n">
        <v>0.01610588422899059</v>
      </c>
      <c r="S3" s="495" t="n">
        <v>0.115678776290631</v>
      </c>
      <c r="T3" s="495" t="n">
        <v>0.3472222222222222</v>
      </c>
      <c r="U3" s="234" t="n"/>
      <c r="V3" s="234" t="n"/>
    </row>
    <row r="4">
      <c r="A4" s="377" t="inlineStr">
        <is>
          <t>Aerospace/Defense</t>
        </is>
      </c>
      <c r="B4" s="673" t="n">
        <v>319</v>
      </c>
      <c r="C4" s="495" t="n">
        <v>0.07980000000000001</v>
      </c>
      <c r="D4" s="495" t="n">
        <v>0.143</v>
      </c>
      <c r="E4" s="495" t="n">
        <v>0.284</v>
      </c>
      <c r="F4" s="495" t="n">
        <v>-0.02898284313725491</v>
      </c>
      <c r="G4" s="495" t="n">
        <v>0.07117117117117119</v>
      </c>
      <c r="H4" s="495" t="n">
        <v>0.143</v>
      </c>
      <c r="I4" s="674" t="n">
        <v>0.5219664162185416</v>
      </c>
      <c r="J4" s="674" t="n">
        <v>1.189581993569132</v>
      </c>
      <c r="K4" s="674" t="n">
        <v>2.201332153011001</v>
      </c>
      <c r="L4" s="495" t="n">
        <v>0.09053626276485748</v>
      </c>
      <c r="M4" s="495" t="n">
        <v>0.09612873770875888</v>
      </c>
      <c r="N4" s="495" t="n">
        <v>0.0993547129582124</v>
      </c>
      <c r="O4" s="674" t="n">
        <v>0.7592992054348653</v>
      </c>
      <c r="P4" s="674" t="n">
        <v>1.170410825233716</v>
      </c>
      <c r="Q4" s="674" t="n">
        <v>1.670677468501862</v>
      </c>
      <c r="R4" s="495" t="n">
        <v>0.007033927062123604</v>
      </c>
      <c r="S4" s="495" t="n">
        <v>0.0529127023869137</v>
      </c>
      <c r="T4" s="495" t="n">
        <v>0.1594113040073097</v>
      </c>
      <c r="U4" s="234" t="n"/>
      <c r="V4" s="234" t="n"/>
    </row>
    <row r="5">
      <c r="A5" s="377" t="inlineStr">
        <is>
          <t>Air Transport</t>
        </is>
      </c>
      <c r="B5" s="673" t="n">
        <v>150</v>
      </c>
      <c r="C5" s="495" t="n">
        <v>0.0354</v>
      </c>
      <c r="D5" s="495" t="n">
        <v>0.0633</v>
      </c>
      <c r="E5" s="495" t="n">
        <v>0.104</v>
      </c>
      <c r="F5" s="495" t="n">
        <v>0.01688127001580172</v>
      </c>
      <c r="G5" s="495" t="n">
        <v>0.08961047463175123</v>
      </c>
      <c r="H5" s="495" t="n">
        <v>0.1778067398994601</v>
      </c>
      <c r="I5" s="674" t="n">
        <v>0.6649010595479934</v>
      </c>
      <c r="J5" s="674" t="n">
        <v>1.020722693083042</v>
      </c>
      <c r="K5" s="674" t="n">
        <v>2.04793781286831</v>
      </c>
      <c r="L5" s="495" t="n">
        <v>0.06848928356330741</v>
      </c>
      <c r="M5" s="495" t="n">
        <v>0.07300826491794143</v>
      </c>
      <c r="N5" s="495" t="n">
        <v>0.08451331776727691</v>
      </c>
      <c r="O5" s="674" t="n">
        <v>0.5607257032960421</v>
      </c>
      <c r="P5" s="674" t="n">
        <v>0.9879906006739341</v>
      </c>
      <c r="Q5" s="674" t="n">
        <v>1.33453668976657</v>
      </c>
      <c r="R5" s="495" t="n">
        <v>0.1444989134280083</v>
      </c>
      <c r="S5" s="495" t="n">
        <v>0.401885250685811</v>
      </c>
      <c r="T5" s="495" t="n">
        <v>0.6146223220332941</v>
      </c>
      <c r="U5" s="234" t="n"/>
      <c r="V5" s="234" t="n"/>
    </row>
    <row r="6">
      <c r="A6" s="377" t="inlineStr">
        <is>
          <t>Apparel</t>
        </is>
      </c>
      <c r="B6" s="673" t="n">
        <v>1207</v>
      </c>
      <c r="C6" s="495" t="n">
        <v>0.0239</v>
      </c>
      <c r="D6" s="495" t="n">
        <v>0.0653</v>
      </c>
      <c r="E6" s="495" t="n">
        <v>0.118</v>
      </c>
      <c r="F6" s="495" t="n">
        <v>-0.01627155172413793</v>
      </c>
      <c r="G6" s="495" t="n">
        <v>0.03966725043782837</v>
      </c>
      <c r="H6" s="495" t="n">
        <v>0.08610443798204577</v>
      </c>
      <c r="I6" s="674" t="n">
        <v>0.5847310076724319</v>
      </c>
      <c r="J6" s="674" t="n">
        <v>1.203860072376357</v>
      </c>
      <c r="K6" s="674" t="n">
        <v>2.041086812458582</v>
      </c>
      <c r="L6" s="495" t="n">
        <v>0.07464002462250344</v>
      </c>
      <c r="M6" s="495" t="n">
        <v>0.08541302206722935</v>
      </c>
      <c r="N6" s="495" t="n">
        <v>0.08942758625106489</v>
      </c>
      <c r="O6" s="674" t="n">
        <v>0.1988114001885882</v>
      </c>
      <c r="P6" s="674" t="n">
        <v>0.7154783846681572</v>
      </c>
      <c r="Q6" s="674" t="n">
        <v>1.254721894070422</v>
      </c>
      <c r="R6" s="495" t="n">
        <v>0.03209937277087689</v>
      </c>
      <c r="S6" s="495" t="n">
        <v>0.1884765625</v>
      </c>
      <c r="T6" s="495" t="n">
        <v>0.4668183541903678</v>
      </c>
      <c r="U6" s="234" t="n"/>
      <c r="V6" s="234" t="n"/>
    </row>
    <row r="7">
      <c r="A7" s="377" t="inlineStr">
        <is>
          <t>Auto &amp; Truck</t>
        </is>
      </c>
      <c r="B7" s="673" t="n">
        <v>165</v>
      </c>
      <c r="C7" s="495" t="n">
        <v>0.0159</v>
      </c>
      <c r="D7" s="495" t="n">
        <v>0.0669</v>
      </c>
      <c r="E7" s="495" t="n">
        <v>0.186</v>
      </c>
      <c r="F7" s="495" t="n">
        <v>-0.2228351594242118</v>
      </c>
      <c r="G7" s="495" t="n">
        <v>0.01881188118811881</v>
      </c>
      <c r="H7" s="495" t="n">
        <v>0.06781955099185036</v>
      </c>
      <c r="I7" s="674" t="n">
        <v>0.6326545068177793</v>
      </c>
      <c r="J7" s="674" t="n">
        <v>1.480137437263516</v>
      </c>
      <c r="K7" s="674" t="n">
        <v>2.73719165085389</v>
      </c>
      <c r="L7" s="495" t="n">
        <v>0.09084368907570994</v>
      </c>
      <c r="M7" s="495" t="n">
        <v>0.09728540636021005</v>
      </c>
      <c r="N7" s="495" t="n">
        <v>0.1145194496180282</v>
      </c>
      <c r="O7" s="674" t="n">
        <v>0.8858133882998782</v>
      </c>
      <c r="P7" s="674" t="n">
        <v>1.400265337216942</v>
      </c>
      <c r="Q7" s="674" t="n">
        <v>1.860909914676551</v>
      </c>
      <c r="R7" s="495" t="n">
        <v>0.01382606907894737</v>
      </c>
      <c r="S7" s="495" t="n">
        <v>0.1516360840050912</v>
      </c>
      <c r="T7" s="495" t="n">
        <v>0.4798065587712189</v>
      </c>
      <c r="U7" s="234" t="n"/>
      <c r="V7" s="234" t="n"/>
    </row>
    <row r="8">
      <c r="A8" s="377" t="inlineStr">
        <is>
          <t>Auto Parts</t>
        </is>
      </c>
      <c r="B8" s="673" t="n">
        <v>797</v>
      </c>
      <c r="C8" s="495" t="n">
        <v>0.0177</v>
      </c>
      <c r="D8" s="495" t="n">
        <v>0.0726</v>
      </c>
      <c r="E8" s="495" t="n">
        <v>0.176</v>
      </c>
      <c r="F8" s="495" t="n">
        <v>0.02016539440203562</v>
      </c>
      <c r="G8" s="495" t="n">
        <v>0.05074679714156956</v>
      </c>
      <c r="H8" s="495" t="n">
        <v>0.09062001476236169</v>
      </c>
      <c r="I8" s="674" t="n">
        <v>0.9825752017608219</v>
      </c>
      <c r="J8" s="674" t="n">
        <v>1.536157024793389</v>
      </c>
      <c r="K8" s="674" t="n">
        <v>2.271920864469652</v>
      </c>
      <c r="L8" s="495" t="n">
        <v>0.1008451575911559</v>
      </c>
      <c r="M8" s="495" t="n">
        <v>0.1070632251971604</v>
      </c>
      <c r="N8" s="495" t="n">
        <v>0.1137113599274347</v>
      </c>
      <c r="O8" s="674" t="n">
        <v>0.8092102162755568</v>
      </c>
      <c r="P8" s="674" t="n">
        <v>1.34079340847539</v>
      </c>
      <c r="Q8" s="674" t="n">
        <v>2.07689755405817</v>
      </c>
      <c r="R8" s="495" t="n">
        <v>0.03298669083623527</v>
      </c>
      <c r="S8" s="495" t="n">
        <v>0.1379527840599294</v>
      </c>
      <c r="T8" s="495" t="n">
        <v>0.4061600045614386</v>
      </c>
      <c r="U8" s="234" t="n"/>
      <c r="V8" s="234" t="n"/>
    </row>
    <row r="9">
      <c r="A9" s="377" t="inlineStr">
        <is>
          <t>Bank (Money Center)</t>
        </is>
      </c>
      <c r="B9" s="673" t="n">
        <v>604</v>
      </c>
      <c r="C9" s="495" t="n">
        <v>0.0282</v>
      </c>
      <c r="D9" s="495" t="n">
        <v>0.0558</v>
      </c>
      <c r="E9" s="495" t="n">
        <v>0.11</v>
      </c>
      <c r="F9" s="495" t="n">
        <v>0</v>
      </c>
      <c r="G9" s="495" t="n">
        <v>0</v>
      </c>
      <c r="H9" s="495" t="n">
        <v>0</v>
      </c>
      <c r="I9" s="674" t="n">
        <v>0.1507902143321065</v>
      </c>
      <c r="J9" s="674" t="n">
        <v>0.283418301218353</v>
      </c>
      <c r="K9" s="674" t="n">
        <v>0.537263075175318</v>
      </c>
      <c r="L9" s="495" t="n">
        <v>0.05750079097409105</v>
      </c>
      <c r="M9" s="495" t="n">
        <v>0.06463212274950794</v>
      </c>
      <c r="N9" s="495" t="n">
        <v>0.08265294806601939</v>
      </c>
      <c r="O9" s="674" t="n">
        <v>0.2336634644791568</v>
      </c>
      <c r="P9" s="674" t="n">
        <v>0.6477725997050459</v>
      </c>
      <c r="Q9" s="674" t="n">
        <v>1.139127231689622</v>
      </c>
      <c r="R9" s="495" t="n">
        <v>0.1686293306121117</v>
      </c>
      <c r="S9" s="495" t="n">
        <v>0.4226658283558629</v>
      </c>
      <c r="T9" s="495" t="n">
        <v>0.6316666666666667</v>
      </c>
      <c r="U9" s="234" t="n"/>
      <c r="V9" s="234" t="n"/>
    </row>
    <row r="10">
      <c r="A10" s="377" t="inlineStr">
        <is>
          <t>Banks (Regional)</t>
        </is>
      </c>
      <c r="B10" s="673" t="n">
        <v>825</v>
      </c>
      <c r="C10" s="495" t="n">
        <v>0.0537</v>
      </c>
      <c r="D10" s="495" t="n">
        <v>0.095</v>
      </c>
      <c r="E10" s="495" t="n">
        <v>0.161</v>
      </c>
      <c r="F10" s="495" t="n">
        <v>-0.0001076846792065093</v>
      </c>
      <c r="G10" s="495" t="n">
        <v>0</v>
      </c>
      <c r="H10" s="495" t="n">
        <v>0.0009121625650559712</v>
      </c>
      <c r="I10" s="674" t="n">
        <v>0.1795806745670009</v>
      </c>
      <c r="J10" s="674" t="n">
        <v>0.3293019005518427</v>
      </c>
      <c r="K10" s="674" t="n">
        <v>0.5992130410342895</v>
      </c>
      <c r="L10" s="495" t="n">
        <v>0.0505145820261365</v>
      </c>
      <c r="M10" s="495" t="n">
        <v>0.05175526257920587</v>
      </c>
      <c r="N10" s="495" t="n">
        <v>0.05280751294279199</v>
      </c>
      <c r="O10" s="674" t="n">
        <v>0.1240956931178311</v>
      </c>
      <c r="P10" s="674" t="n">
        <v>0.5040345980370489</v>
      </c>
      <c r="Q10" s="674" t="n">
        <v>0.7599853205959881</v>
      </c>
      <c r="R10" s="495" t="n">
        <v>0.08724155320221885</v>
      </c>
      <c r="S10" s="495" t="n">
        <v>0.2815175736972348</v>
      </c>
      <c r="T10" s="495" t="n">
        <v>0.5664474995018928</v>
      </c>
      <c r="U10" s="234" t="n"/>
      <c r="V10" s="234" t="n"/>
    </row>
    <row r="11">
      <c r="A11" s="377" t="inlineStr">
        <is>
          <t>Beverage (Alcoholic)</t>
        </is>
      </c>
      <c r="B11" s="673" t="n">
        <v>217</v>
      </c>
      <c r="C11" s="495" t="n">
        <v>-0.0113</v>
      </c>
      <c r="D11" s="495" t="n">
        <v>0.0232</v>
      </c>
      <c r="E11" s="495" t="n">
        <v>0.0573</v>
      </c>
      <c r="F11" s="495" t="n">
        <v>0.01687528975428836</v>
      </c>
      <c r="G11" s="495" t="n">
        <v>0.09767441860465116</v>
      </c>
      <c r="H11" s="495" t="n">
        <v>0.1686358754027927</v>
      </c>
      <c r="I11" s="674" t="n">
        <v>0.4722099911959121</v>
      </c>
      <c r="J11" s="674" t="n">
        <v>1.05840739004323</v>
      </c>
      <c r="K11" s="674" t="n">
        <v>2.124426313105559</v>
      </c>
      <c r="L11" s="495" t="n">
        <v>0.07174171053401394</v>
      </c>
      <c r="M11" s="495" t="n">
        <v>0.07657606148646805</v>
      </c>
      <c r="N11" s="495" t="n">
        <v>0.08869933878572475</v>
      </c>
      <c r="O11" s="674" t="n">
        <v>0.1795892377675783</v>
      </c>
      <c r="P11" s="674" t="n">
        <v>0.6317858507608395</v>
      </c>
      <c r="Q11" s="674" t="n">
        <v>1.274443642395938</v>
      </c>
      <c r="R11" s="495" t="n">
        <v>0.009321273216874959</v>
      </c>
      <c r="S11" s="495" t="n">
        <v>0.08290346352247606</v>
      </c>
      <c r="T11" s="495" t="n">
        <v>0.3129470022062211</v>
      </c>
      <c r="U11" s="234" t="n"/>
      <c r="V11" s="234" t="n"/>
    </row>
    <row r="12">
      <c r="A12" s="377" t="inlineStr">
        <is>
          <t>Beverage (Soft)</t>
        </is>
      </c>
      <c r="B12" s="673" t="n">
        <v>94</v>
      </c>
      <c r="C12" s="495" t="n">
        <v>0.0266</v>
      </c>
      <c r="D12" s="495" t="n">
        <v>0.055</v>
      </c>
      <c r="E12" s="495" t="n">
        <v>0.122</v>
      </c>
      <c r="F12" s="495" t="n">
        <v>0.009523809523809526</v>
      </c>
      <c r="G12" s="495" t="n">
        <v>0.0958299919807538</v>
      </c>
      <c r="H12" s="495" t="n">
        <v>0.1552994521065559</v>
      </c>
      <c r="I12" s="674" t="n">
        <v>0.960725411659991</v>
      </c>
      <c r="J12" s="674" t="n">
        <v>1.639153296481057</v>
      </c>
      <c r="K12" s="674" t="n">
        <v>2.506621511021845</v>
      </c>
      <c r="L12" s="495" t="n">
        <v>0.06367394777596884</v>
      </c>
      <c r="M12" s="495" t="n">
        <v>0.06661275622553303</v>
      </c>
      <c r="N12" s="495" t="n">
        <v>0.07427717251342719</v>
      </c>
      <c r="O12" s="674" t="n">
        <v>0.1606362561999731</v>
      </c>
      <c r="P12" s="674" t="n">
        <v>0.4339630121648182</v>
      </c>
      <c r="Q12" s="674" t="n">
        <v>0.8695389696755347</v>
      </c>
      <c r="R12" s="495" t="n">
        <v>0.00539824355657413</v>
      </c>
      <c r="S12" s="495" t="n">
        <v>0.07013071150194834</v>
      </c>
      <c r="T12" s="495" t="n">
        <v>0.2218635678932644</v>
      </c>
      <c r="U12" s="234" t="n"/>
      <c r="V12" s="234" t="n"/>
    </row>
    <row r="13">
      <c r="A13" s="377" t="inlineStr">
        <is>
          <t>Broadcasting</t>
        </is>
      </c>
      <c r="B13" s="673" t="n">
        <v>127</v>
      </c>
      <c r="C13" s="495" t="n">
        <v>-0.019</v>
      </c>
      <c r="D13" s="495" t="n">
        <v>0.0131</v>
      </c>
      <c r="E13" s="495" t="n">
        <v>0.0356</v>
      </c>
      <c r="F13" s="495" t="n">
        <v>-0.056</v>
      </c>
      <c r="G13" s="495" t="n">
        <v>0.05914396887159533</v>
      </c>
      <c r="H13" s="495" t="n">
        <v>0.1155385669467383</v>
      </c>
      <c r="I13" s="674" t="n">
        <v>0.5148748186126679</v>
      </c>
      <c r="J13" s="674" t="n">
        <v>0.8034909085577286</v>
      </c>
      <c r="K13" s="674" t="n">
        <v>1.522295456863873</v>
      </c>
      <c r="L13" s="495" t="n">
        <v>0.06869029172260827</v>
      </c>
      <c r="M13" s="495" t="n">
        <v>0.07303430017787391</v>
      </c>
      <c r="N13" s="495" t="n">
        <v>0.0843306111529373</v>
      </c>
      <c r="O13" s="674" t="n">
        <v>0.4106716244305178</v>
      </c>
      <c r="P13" s="674" t="n">
        <v>0.748094207290935</v>
      </c>
      <c r="Q13" s="674" t="n">
        <v>1.176160340766099</v>
      </c>
      <c r="R13" s="495" t="n">
        <v>0.04387507303568327</v>
      </c>
      <c r="S13" s="495" t="n">
        <v>0.2239482200647249</v>
      </c>
      <c r="T13" s="495" t="n">
        <v>0.5607028753993609</v>
      </c>
      <c r="U13" s="234" t="n"/>
      <c r="V13" s="234" t="n"/>
    </row>
    <row r="14">
      <c r="A14" s="377" t="inlineStr">
        <is>
          <t>Brokerage &amp; Investment Banking</t>
        </is>
      </c>
      <c r="B14" s="673" t="n">
        <v>623</v>
      </c>
      <c r="C14" s="495" t="n">
        <v>0.0321</v>
      </c>
      <c r="D14" s="495" t="n">
        <v>0.0922</v>
      </c>
      <c r="E14" s="495" t="n">
        <v>0.146</v>
      </c>
      <c r="F14" s="495" t="n">
        <v>0</v>
      </c>
      <c r="G14" s="495" t="n">
        <v>0</v>
      </c>
      <c r="H14" s="495" t="n">
        <v>0.0002544371720030662</v>
      </c>
      <c r="I14" s="674" t="n">
        <v>0.09177972865123704</v>
      </c>
      <c r="J14" s="674" t="n">
        <v>0.2388704205078995</v>
      </c>
      <c r="K14" s="674" t="n">
        <v>0.9207920792079207</v>
      </c>
      <c r="L14" s="495" t="n">
        <v>0.06255798023663139</v>
      </c>
      <c r="M14" s="495" t="n">
        <v>0.07141496444181424</v>
      </c>
      <c r="N14" s="495" t="n">
        <v>0.07371941952698663</v>
      </c>
      <c r="O14" s="674" t="n">
        <v>0.2706804010225866</v>
      </c>
      <c r="P14" s="674" t="n">
        <v>0.8578583634053918</v>
      </c>
      <c r="Q14" s="674" t="n">
        <v>1.673755518926446</v>
      </c>
      <c r="R14" s="495" t="n">
        <v>0.007527895098141878</v>
      </c>
      <c r="S14" s="495" t="n">
        <v>0.1592689295039164</v>
      </c>
      <c r="T14" s="495" t="n">
        <v>0.5215963966894154</v>
      </c>
      <c r="U14" s="234" t="n"/>
      <c r="V14" s="234" t="n"/>
    </row>
    <row r="15">
      <c r="A15" s="377" t="inlineStr">
        <is>
          <t>Building Materials</t>
        </is>
      </c>
      <c r="B15" s="673" t="n">
        <v>469</v>
      </c>
      <c r="C15" s="495" t="n">
        <v>0.0171</v>
      </c>
      <c r="D15" s="495" t="n">
        <v>0.051</v>
      </c>
      <c r="E15" s="495" t="n">
        <v>0.09359999999999999</v>
      </c>
      <c r="F15" s="495" t="n">
        <v>0.008794258373205742</v>
      </c>
      <c r="G15" s="495" t="n">
        <v>0.06145077720207254</v>
      </c>
      <c r="H15" s="495" t="n">
        <v>0.1172880206562456</v>
      </c>
      <c r="I15" s="674" t="n">
        <v>0.7703401456259453</v>
      </c>
      <c r="J15" s="674" t="n">
        <v>1.268986733320515</v>
      </c>
      <c r="K15" s="674" t="n">
        <v>2.111424163144832</v>
      </c>
      <c r="L15" s="495" t="n">
        <v>0.08045645762847055</v>
      </c>
      <c r="M15" s="495" t="n">
        <v>0.08533219457801069</v>
      </c>
      <c r="N15" s="495" t="n">
        <v>0.09954437983250541</v>
      </c>
      <c r="O15" s="674" t="n">
        <v>0.4280054502738377</v>
      </c>
      <c r="P15" s="674" t="n">
        <v>0.9278057055849396</v>
      </c>
      <c r="Q15" s="674" t="n">
        <v>1.543886973559747</v>
      </c>
      <c r="R15" s="495" t="n">
        <v>0.04160119231122522</v>
      </c>
      <c r="S15" s="495" t="n">
        <v>0.1572842998585573</v>
      </c>
      <c r="T15" s="495" t="n">
        <v>0.37375</v>
      </c>
      <c r="U15" s="234" t="n"/>
      <c r="V15" s="234" t="n"/>
    </row>
    <row r="16">
      <c r="A16" s="377" t="inlineStr">
        <is>
          <t>Business &amp; Consumer Services</t>
        </is>
      </c>
      <c r="B16" s="673" t="n">
        <v>994</v>
      </c>
      <c r="C16" s="495" t="n">
        <v>0.0231</v>
      </c>
      <c r="D16" s="495" t="n">
        <v>0.06809999999999999</v>
      </c>
      <c r="E16" s="495" t="n">
        <v>0.133</v>
      </c>
      <c r="F16" s="495" t="n">
        <v>-0.003777335984095428</v>
      </c>
      <c r="G16" s="495" t="n">
        <v>0.05962059620596206</v>
      </c>
      <c r="H16" s="495" t="n">
        <v>0.1347352024922118</v>
      </c>
      <c r="I16" s="674" t="n">
        <v>0.8350772296960638</v>
      </c>
      <c r="J16" s="674" t="n">
        <v>2.329667992162781</v>
      </c>
      <c r="K16" s="674" t="n">
        <v>5.232514310760207</v>
      </c>
      <c r="L16" s="495" t="n">
        <v>0.07824279718860941</v>
      </c>
      <c r="M16" s="495" t="n">
        <v>0.08322180901103164</v>
      </c>
      <c r="N16" s="495" t="n">
        <v>0.08531213060135535</v>
      </c>
      <c r="O16" s="674" t="n">
        <v>0.4183772053750184</v>
      </c>
      <c r="P16" s="674" t="n">
        <v>0.8740136450315353</v>
      </c>
      <c r="Q16" s="674" t="n">
        <v>1.471657895475145</v>
      </c>
      <c r="R16" s="495" t="n">
        <v>0.01580191613786239</v>
      </c>
      <c r="S16" s="495" t="n">
        <v>0.1156462585034014</v>
      </c>
      <c r="T16" s="495" t="n">
        <v>0.2989142124930051</v>
      </c>
      <c r="U16" s="234" t="n"/>
      <c r="V16" s="234" t="n"/>
    </row>
    <row r="17">
      <c r="A17" s="377" t="inlineStr">
        <is>
          <t>Cable TV</t>
        </is>
      </c>
      <c r="B17" s="673" t="n">
        <v>42</v>
      </c>
      <c r="C17" s="495" t="n">
        <v>-0.008489999999999999</v>
      </c>
      <c r="D17" s="495" t="n">
        <v>0.0152</v>
      </c>
      <c r="E17" s="495" t="n">
        <v>0.04389999999999999</v>
      </c>
      <c r="F17" s="495" t="n">
        <v>-0.08011363636363636</v>
      </c>
      <c r="G17" s="495" t="n">
        <v>0.01907980811164414</v>
      </c>
      <c r="H17" s="495" t="n">
        <v>0.1755290004273943</v>
      </c>
      <c r="I17" s="674" t="n">
        <v>0.2697123019536876</v>
      </c>
      <c r="J17" s="674" t="n">
        <v>0.4917317313530352</v>
      </c>
      <c r="K17" s="674" t="n">
        <v>0.9806845665259848</v>
      </c>
      <c r="L17" s="495" t="n">
        <v>0.06584939331332856</v>
      </c>
      <c r="M17" s="495" t="n">
        <v>0.06971344720050422</v>
      </c>
      <c r="N17" s="495" t="n">
        <v>0.08114275728113364</v>
      </c>
      <c r="O17" s="674" t="n">
        <v>0.4875034344294637</v>
      </c>
      <c r="P17" s="674" t="n">
        <v>0.8811743763294609</v>
      </c>
      <c r="Q17" s="674" t="n">
        <v>1.618409826257619</v>
      </c>
      <c r="R17" s="495" t="n">
        <v>0.01990419000067472</v>
      </c>
      <c r="S17" s="495" t="n">
        <v>0.2316282198231508</v>
      </c>
      <c r="T17" s="495" t="n">
        <v>0.6654650889428729</v>
      </c>
      <c r="U17" s="234" t="n"/>
      <c r="V17" s="234" t="n"/>
    </row>
    <row r="18">
      <c r="A18" s="377" t="inlineStr">
        <is>
          <t>Chemical (Basic)</t>
        </is>
      </c>
      <c r="B18" s="673" t="n">
        <v>909</v>
      </c>
      <c r="C18" s="495" t="n">
        <v>0.0187</v>
      </c>
      <c r="D18" s="495" t="n">
        <v>0.08070000000000001</v>
      </c>
      <c r="E18" s="495" t="n">
        <v>0.162</v>
      </c>
      <c r="F18" s="495" t="n">
        <v>0</v>
      </c>
      <c r="G18" s="495" t="n">
        <v>0.04920828258221681</v>
      </c>
      <c r="H18" s="495" t="n">
        <v>0.1041916167664671</v>
      </c>
      <c r="I18" s="674" t="n">
        <v>0.6712962962962963</v>
      </c>
      <c r="J18" s="674" t="n">
        <v>1.077313054499366</v>
      </c>
      <c r="K18" s="674" t="n">
        <v>1.706374387078165</v>
      </c>
      <c r="L18" s="495" t="n">
        <v>0.0867625906385944</v>
      </c>
      <c r="M18" s="495" t="n">
        <v>0.09020606441384324</v>
      </c>
      <c r="N18" s="495" t="n">
        <v>0.105696695132534</v>
      </c>
      <c r="O18" s="674" t="n">
        <v>0.6076629885146714</v>
      </c>
      <c r="P18" s="674" t="n">
        <v>1.19182600813356</v>
      </c>
      <c r="Q18" s="674" t="n">
        <v>1.802957949753803</v>
      </c>
      <c r="R18" s="495" t="n">
        <v>0.0282965119959486</v>
      </c>
      <c r="S18" s="495" t="n">
        <v>0.1603603603603604</v>
      </c>
      <c r="T18" s="495" t="n">
        <v>0.3695652173913044</v>
      </c>
      <c r="U18" s="234" t="n"/>
      <c r="V18" s="234" t="n"/>
    </row>
    <row r="19">
      <c r="A19" s="377" t="inlineStr">
        <is>
          <t>Chemical (Diversified)</t>
        </is>
      </c>
      <c r="B19" s="673" t="n">
        <v>63</v>
      </c>
      <c r="C19" s="495" t="n">
        <v>-0.008960000000000001</v>
      </c>
      <c r="D19" s="495" t="n">
        <v>0.0326</v>
      </c>
      <c r="E19" s="495" t="n">
        <v>0.07919999999999999</v>
      </c>
      <c r="F19" s="495" t="n">
        <v>0.03862280277374617</v>
      </c>
      <c r="G19" s="495" t="n">
        <v>0.07849293563579279</v>
      </c>
      <c r="H19" s="495" t="n">
        <v>0.1129750189250568</v>
      </c>
      <c r="I19" s="674" t="n">
        <v>0.8018425440359402</v>
      </c>
      <c r="J19" s="674" t="n">
        <v>1.130111524163569</v>
      </c>
      <c r="K19" s="674" t="n">
        <v>1.719405625754624</v>
      </c>
      <c r="L19" s="495" t="n">
        <v>0.079321673053177</v>
      </c>
      <c r="M19" s="495" t="n">
        <v>0.08392926718533412</v>
      </c>
      <c r="N19" s="495" t="n">
        <v>0.1008955222704963</v>
      </c>
      <c r="O19" s="674" t="n">
        <v>0.6829577212652854</v>
      </c>
      <c r="P19" s="674" t="n">
        <v>1.141789814634027</v>
      </c>
      <c r="Q19" s="674" t="n">
        <v>1.527966557156094</v>
      </c>
      <c r="R19" s="495" t="n">
        <v>0.09913444426468208</v>
      </c>
      <c r="S19" s="495" t="n">
        <v>0.2746506461434078</v>
      </c>
      <c r="T19" s="495" t="n">
        <v>0.4696649626093202</v>
      </c>
      <c r="U19" s="234" t="n"/>
      <c r="V19" s="234" t="n"/>
    </row>
    <row r="20">
      <c r="A20" s="377" t="inlineStr">
        <is>
          <t>Chemical (Specialty)</t>
        </is>
      </c>
      <c r="B20" s="673" t="n">
        <v>952</v>
      </c>
      <c r="C20" s="495" t="n">
        <v>0.0259</v>
      </c>
      <c r="D20" s="495" t="n">
        <v>0.0861</v>
      </c>
      <c r="E20" s="495" t="n">
        <v>0.156</v>
      </c>
      <c r="F20" s="495" t="n">
        <v>0.008903605592347314</v>
      </c>
      <c r="G20" s="495" t="n">
        <v>0.06675350048844024</v>
      </c>
      <c r="H20" s="495" t="n">
        <v>0.1267217630853995</v>
      </c>
      <c r="I20" s="674" t="n">
        <v>0.6009263377119242</v>
      </c>
      <c r="J20" s="674" t="n">
        <v>1.035527690700104</v>
      </c>
      <c r="K20" s="674" t="n">
        <v>1.627869732739211</v>
      </c>
      <c r="L20" s="495" t="n">
        <v>0.0881001258218031</v>
      </c>
      <c r="M20" s="495" t="n">
        <v>0.09210136900436582</v>
      </c>
      <c r="N20" s="495" t="n">
        <v>0.1093401180781898</v>
      </c>
      <c r="O20" s="674" t="n">
        <v>0.54070363112675</v>
      </c>
      <c r="P20" s="674" t="n">
        <v>1.08086599930218</v>
      </c>
      <c r="Q20" s="674" t="n">
        <v>1.68303354286728</v>
      </c>
      <c r="R20" s="495" t="n">
        <v>0.0194548481065335</v>
      </c>
      <c r="S20" s="495" t="n">
        <v>0.1322222222222222</v>
      </c>
      <c r="T20" s="495" t="n">
        <v>0.2978490391690481</v>
      </c>
      <c r="U20" s="234" t="n"/>
      <c r="V20" s="234" t="n"/>
    </row>
    <row r="21">
      <c r="A21" s="377" t="inlineStr">
        <is>
          <t>Coal &amp; Related Energy</t>
        </is>
      </c>
      <c r="B21" s="673" t="n">
        <v>212</v>
      </c>
      <c r="C21" s="495" t="n">
        <v>-0.0435</v>
      </c>
      <c r="D21" s="495" t="n">
        <v>0.0066</v>
      </c>
      <c r="E21" s="495" t="n">
        <v>0.126</v>
      </c>
      <c r="F21" s="495" t="n">
        <v>-0.2182352941176471</v>
      </c>
      <c r="G21" s="495" t="n">
        <v>0.03256637168141593</v>
      </c>
      <c r="H21" s="495" t="n">
        <v>0.134739387426115</v>
      </c>
      <c r="I21" s="674" t="n">
        <v>0</v>
      </c>
      <c r="J21" s="674" t="n">
        <v>0.5082143819014274</v>
      </c>
      <c r="K21" s="674" t="n">
        <v>1.356829802775749</v>
      </c>
      <c r="L21" s="495" t="n">
        <v>0.08742609039588575</v>
      </c>
      <c r="M21" s="495" t="n">
        <v>0.09020614401576404</v>
      </c>
      <c r="N21" s="495" t="n">
        <v>0.1110031442203571</v>
      </c>
      <c r="O21" s="674" t="n">
        <v>0.3982175455015888</v>
      </c>
      <c r="P21" s="674" t="n">
        <v>1.052627500795077</v>
      </c>
      <c r="Q21" s="674" t="n">
        <v>1.707370513358237</v>
      </c>
      <c r="R21" s="495" t="n">
        <v>0.0003326130757625565</v>
      </c>
      <c r="S21" s="495" t="n">
        <v>0.05708605509798353</v>
      </c>
      <c r="T21" s="495" t="n">
        <v>0.2268728339109571</v>
      </c>
      <c r="U21" s="234" t="n"/>
      <c r="V21" s="234" t="n"/>
    </row>
    <row r="22">
      <c r="A22" s="377" t="inlineStr">
        <is>
          <t>Computer Services</t>
        </is>
      </c>
      <c r="B22" s="673" t="n">
        <v>1225</v>
      </c>
      <c r="C22" s="495" t="n">
        <v>0.04219999999999999</v>
      </c>
      <c r="D22" s="495" t="n">
        <v>0.0824</v>
      </c>
      <c r="E22" s="495" t="n">
        <v>0.144</v>
      </c>
      <c r="F22" s="495" t="n">
        <v>0.0007202216066481994</v>
      </c>
      <c r="G22" s="495" t="n">
        <v>0.04794548784413286</v>
      </c>
      <c r="H22" s="495" t="n">
        <v>0.1082627564925998</v>
      </c>
      <c r="I22" s="674" t="n">
        <v>1.179245283018868</v>
      </c>
      <c r="J22" s="674" t="n">
        <v>2.805429864253394</v>
      </c>
      <c r="K22" s="674" t="n">
        <v>5.47867581270504</v>
      </c>
      <c r="L22" s="495" t="n">
        <v>0.09060935588968108</v>
      </c>
      <c r="M22" s="495" t="n">
        <v>0.09387757687799017</v>
      </c>
      <c r="N22" s="495" t="n">
        <v>0.1067249026981723</v>
      </c>
      <c r="O22" s="674" t="n">
        <v>0.5020362544190231</v>
      </c>
      <c r="P22" s="674" t="n">
        <v>1.016181519571083</v>
      </c>
      <c r="Q22" s="674" t="n">
        <v>1.695689719114776</v>
      </c>
      <c r="R22" s="495" t="n">
        <v>0.009165221699281648</v>
      </c>
      <c r="S22" s="495" t="n">
        <v>0.07894736842105263</v>
      </c>
      <c r="T22" s="495" t="n">
        <v>0.2591185410334347</v>
      </c>
      <c r="U22" s="234" t="n"/>
      <c r="V22" s="234" t="n"/>
    </row>
    <row r="23">
      <c r="A23" s="377" t="inlineStr">
        <is>
          <t>Computers/Peripherals</t>
        </is>
      </c>
      <c r="B23" s="673" t="n">
        <v>343</v>
      </c>
      <c r="C23" s="495" t="n">
        <v>0.042</v>
      </c>
      <c r="D23" s="495" t="n">
        <v>0.125</v>
      </c>
      <c r="E23" s="495" t="n">
        <v>0.265</v>
      </c>
      <c r="F23" s="495" t="n">
        <v>-0.02420591456736035</v>
      </c>
      <c r="G23" s="495" t="n">
        <v>0.03441558441558441</v>
      </c>
      <c r="H23" s="495" t="n">
        <v>0.08786324786324785</v>
      </c>
      <c r="I23" s="674" t="n">
        <v>0.756947507719453</v>
      </c>
      <c r="J23" s="674" t="n">
        <v>1.644919786096257</v>
      </c>
      <c r="K23" s="674" t="n">
        <v>2.949694405265632</v>
      </c>
      <c r="L23" s="495" t="n">
        <v>0.1079523845353451</v>
      </c>
      <c r="M23" s="495" t="n">
        <v>0.1117798191519105</v>
      </c>
      <c r="N23" s="495" t="n">
        <v>0.1140840794785049</v>
      </c>
      <c r="O23" s="674" t="n">
        <v>0.8190829853408031</v>
      </c>
      <c r="P23" s="674" t="n">
        <v>1.472731666875044</v>
      </c>
      <c r="Q23" s="674" t="n">
        <v>2.077944305477136</v>
      </c>
      <c r="R23" s="495" t="n">
        <v>0.0196877121520706</v>
      </c>
      <c r="S23" s="495" t="n">
        <v>0.09508196721311475</v>
      </c>
      <c r="T23" s="495" t="n">
        <v>0.2954275534441805</v>
      </c>
      <c r="U23" s="234" t="n"/>
      <c r="V23" s="234" t="n"/>
    </row>
    <row r="24">
      <c r="A24" s="377" t="inlineStr">
        <is>
          <t>Construction Supplies</t>
        </is>
      </c>
      <c r="B24" s="673" t="n">
        <v>804</v>
      </c>
      <c r="C24" s="495" t="n">
        <v>0.0258</v>
      </c>
      <c r="D24" s="495" t="n">
        <v>0.07719999999999999</v>
      </c>
      <c r="E24" s="495" t="n">
        <v>0.144</v>
      </c>
      <c r="F24" s="495" t="n">
        <v>0.01288702928870293</v>
      </c>
      <c r="G24" s="495" t="n">
        <v>0.07319347319347319</v>
      </c>
      <c r="H24" s="495" t="n">
        <v>0.1316239316239316</v>
      </c>
      <c r="I24" s="674" t="n">
        <v>0.5872962527306336</v>
      </c>
      <c r="J24" s="674" t="n">
        <v>1.036120214768845</v>
      </c>
      <c r="K24" s="674" t="n">
        <v>1.702437512910555</v>
      </c>
      <c r="L24" s="495" t="n">
        <v>0.08247212770779064</v>
      </c>
      <c r="M24" s="495" t="n">
        <v>0.08648052694764041</v>
      </c>
      <c r="N24" s="495" t="n">
        <v>0.1033750115356504</v>
      </c>
      <c r="O24" s="674" t="n">
        <v>0.4233157897517935</v>
      </c>
      <c r="P24" s="674" t="n">
        <v>0.9730743929536703</v>
      </c>
      <c r="Q24" s="674" t="n">
        <v>1.61321046526126</v>
      </c>
      <c r="R24" s="495" t="n">
        <v>0.02898821769216383</v>
      </c>
      <c r="S24" s="495" t="n">
        <v>0.1497742097340693</v>
      </c>
      <c r="T24" s="495" t="n">
        <v>0.3604651162790697</v>
      </c>
      <c r="U24" s="234" t="n"/>
      <c r="V24" s="234" t="n"/>
    </row>
    <row r="25">
      <c r="A25" s="377" t="inlineStr">
        <is>
          <t>Diversified</t>
        </is>
      </c>
      <c r="B25" s="673" t="n">
        <v>329</v>
      </c>
      <c r="C25" s="495" t="n">
        <v>0.0106</v>
      </c>
      <c r="D25" s="495" t="n">
        <v>0.0431</v>
      </c>
      <c r="E25" s="495" t="n">
        <v>0.0848</v>
      </c>
      <c r="F25" s="495" t="n">
        <v>0.03327584744564756</v>
      </c>
      <c r="G25" s="495" t="n">
        <v>0.09166058636243035</v>
      </c>
      <c r="H25" s="495" t="n">
        <v>0.1970403169424376</v>
      </c>
      <c r="I25" s="674" t="n">
        <v>0.2239521633666159</v>
      </c>
      <c r="J25" s="674" t="n">
        <v>0.7244184620416174</v>
      </c>
      <c r="K25" s="674" t="n">
        <v>1.75047369188165</v>
      </c>
      <c r="L25" s="495" t="n">
        <v>0.0678675109295383</v>
      </c>
      <c r="M25" s="495" t="n">
        <v>0.0735774372203904</v>
      </c>
      <c r="N25" s="495" t="n">
        <v>0.08570203256798306</v>
      </c>
      <c r="O25" s="674" t="n">
        <v>0.1835478962312142</v>
      </c>
      <c r="P25" s="674" t="n">
        <v>0.7542460943088346</v>
      </c>
      <c r="Q25" s="674" t="n">
        <v>1.208950309295641</v>
      </c>
      <c r="R25" s="495" t="n">
        <v>0.07861749913617691</v>
      </c>
      <c r="S25" s="495" t="n">
        <v>0.2914024854171951</v>
      </c>
      <c r="T25" s="495" t="n">
        <v>0.5687229967407446</v>
      </c>
      <c r="U25" s="234" t="n"/>
      <c r="V25" s="234" t="n"/>
    </row>
    <row r="26">
      <c r="A26" s="377" t="inlineStr">
        <is>
          <t>Drugs (Biotechnology)</t>
        </is>
      </c>
      <c r="B26" s="673" t="n">
        <v>1193</v>
      </c>
      <c r="C26" s="495" t="n">
        <v>0.00184</v>
      </c>
      <c r="D26" s="495" t="n">
        <v>0.153</v>
      </c>
      <c r="E26" s="495" t="n">
        <v>0.542</v>
      </c>
      <c r="F26" s="495" t="n">
        <v>-6.605222734254992</v>
      </c>
      <c r="G26" s="495" t="n">
        <v>-1.241072180597597</v>
      </c>
      <c r="H26" s="495" t="n">
        <v>-0.01507177033492823</v>
      </c>
      <c r="I26" s="674" t="n">
        <v>0.004059804036382089</v>
      </c>
      <c r="J26" s="674" t="n">
        <v>0.2446140035906641</v>
      </c>
      <c r="K26" s="674" t="n">
        <v>0.8190819081908189</v>
      </c>
      <c r="L26" s="495" t="n">
        <v>0.09039392142107948</v>
      </c>
      <c r="M26" s="495" t="n">
        <v>0.09198567306054314</v>
      </c>
      <c r="N26" s="495" t="n">
        <v>0.09825648134726155</v>
      </c>
      <c r="O26" s="674" t="n">
        <v>0.6454649886223255</v>
      </c>
      <c r="P26" s="674" t="n">
        <v>1.111019332507207</v>
      </c>
      <c r="Q26" s="674" t="n">
        <v>1.739914966566085</v>
      </c>
      <c r="R26" s="495" t="n">
        <v>0.001740299599483702</v>
      </c>
      <c r="S26" s="495" t="n">
        <v>0.03286097801338906</v>
      </c>
      <c r="T26" s="495" t="n">
        <v>0.1414260900910147</v>
      </c>
      <c r="U26" s="234" t="n"/>
      <c r="V26" s="234" t="n"/>
    </row>
    <row r="27">
      <c r="A27" s="377" t="inlineStr">
        <is>
          <t>Drugs (Pharmaceutical)</t>
        </is>
      </c>
      <c r="B27" s="673" t="n">
        <v>1260</v>
      </c>
      <c r="C27" s="495" t="n">
        <v>0.039</v>
      </c>
      <c r="D27" s="495" t="n">
        <v>0.104</v>
      </c>
      <c r="E27" s="495" t="n">
        <v>0.189</v>
      </c>
      <c r="F27" s="495" t="n">
        <v>-0.1414473684210526</v>
      </c>
      <c r="G27" s="495" t="n">
        <v>0.0588798468166587</v>
      </c>
      <c r="H27" s="495" t="n">
        <v>0.1548276050489044</v>
      </c>
      <c r="I27" s="674" t="n">
        <v>0.4061758918209799</v>
      </c>
      <c r="J27" s="674" t="n">
        <v>0.8201958384332926</v>
      </c>
      <c r="K27" s="674" t="n">
        <v>1.376504249720022</v>
      </c>
      <c r="L27" s="495" t="n">
        <v>0.08385183540709432</v>
      </c>
      <c r="M27" s="495" t="n">
        <v>0.08904197254437742</v>
      </c>
      <c r="N27" s="495" t="n">
        <v>0.1015762145604834</v>
      </c>
      <c r="O27" s="674" t="n">
        <v>0.5149904501543827</v>
      </c>
      <c r="P27" s="674" t="n">
        <v>0.9703297604251724</v>
      </c>
      <c r="Q27" s="674" t="n">
        <v>1.506536979746646</v>
      </c>
      <c r="R27" s="495" t="n">
        <v>0.00408682131450664</v>
      </c>
      <c r="S27" s="495" t="n">
        <v>0.0659985333659252</v>
      </c>
      <c r="T27" s="495" t="n">
        <v>0.2181603773584905</v>
      </c>
      <c r="U27" s="234" t="n"/>
      <c r="V27" s="234" t="n"/>
    </row>
    <row r="28">
      <c r="A28" s="377" t="inlineStr">
        <is>
          <t>Education</t>
        </is>
      </c>
      <c r="B28" s="673" t="n">
        <v>281</v>
      </c>
      <c r="C28" s="495" t="n">
        <v>0.0373</v>
      </c>
      <c r="D28" s="495" t="n">
        <v>0.0718</v>
      </c>
      <c r="E28" s="495" t="n">
        <v>0.122</v>
      </c>
      <c r="F28" s="495" t="n">
        <v>-0.004468481346557312</v>
      </c>
      <c r="G28" s="495" t="n">
        <v>0.1004016064257028</v>
      </c>
      <c r="H28" s="495" t="n">
        <v>0.2130512756412663</v>
      </c>
      <c r="I28" s="674" t="n">
        <v>0.4649375600384245</v>
      </c>
      <c r="J28" s="674" t="n">
        <v>1.147980559745265</v>
      </c>
      <c r="K28" s="674" t="n">
        <v>2.476699626247812</v>
      </c>
      <c r="L28" s="495" t="n">
        <v>0.07276684612179116</v>
      </c>
      <c r="M28" s="495" t="n">
        <v>0.07686872726143873</v>
      </c>
      <c r="N28" s="495" t="n">
        <v>0.08897243362421325</v>
      </c>
      <c r="O28" s="674" t="n">
        <v>0.2422515840756723</v>
      </c>
      <c r="P28" s="674" t="n">
        <v>0.7115208004462157</v>
      </c>
      <c r="Q28" s="674" t="n">
        <v>1.285505901710009</v>
      </c>
      <c r="R28" s="495" t="n">
        <v>0.02047522750252781</v>
      </c>
      <c r="S28" s="495" t="n">
        <v>0.1116584564860427</v>
      </c>
      <c r="T28" s="495" t="n">
        <v>0.3589918147679834</v>
      </c>
      <c r="U28" s="234" t="n"/>
      <c r="V28" s="234" t="n"/>
    </row>
    <row r="29">
      <c r="A29" s="377" t="inlineStr">
        <is>
          <t>Electrical Equipment</t>
        </is>
      </c>
      <c r="B29" s="673" t="n">
        <v>1158</v>
      </c>
      <c r="C29" s="495" t="n">
        <v>0.066</v>
      </c>
      <c r="D29" s="495" t="n">
        <v>0.158</v>
      </c>
      <c r="E29" s="495" t="n">
        <v>0.273</v>
      </c>
      <c r="F29" s="495" t="n">
        <v>-0.04111922141119221</v>
      </c>
      <c r="G29" s="495" t="n">
        <v>0.04492385786802031</v>
      </c>
      <c r="H29" s="495" t="n">
        <v>0.1030927835051546</v>
      </c>
      <c r="I29" s="674" t="n">
        <v>0.6871221862575563</v>
      </c>
      <c r="J29" s="674" t="n">
        <v>1.256326373520639</v>
      </c>
      <c r="K29" s="674" t="n">
        <v>2.122036533229693</v>
      </c>
      <c r="L29" s="495" t="n">
        <v>0.1020378721600675</v>
      </c>
      <c r="M29" s="495" t="n">
        <v>0.1066214675423535</v>
      </c>
      <c r="N29" s="495" t="n">
        <v>0.110950862378251</v>
      </c>
      <c r="O29" s="674" t="n">
        <v>0.6944719868739102</v>
      </c>
      <c r="P29" s="674" t="n">
        <v>1.357279743324102</v>
      </c>
      <c r="Q29" s="674" t="n">
        <v>2.034750176245495</v>
      </c>
      <c r="R29" s="495" t="n">
        <v>0.01704856746914177</v>
      </c>
      <c r="S29" s="495" t="n">
        <v>0.0909090909090909</v>
      </c>
      <c r="T29" s="495" t="n">
        <v>0.27128472517237</v>
      </c>
      <c r="U29" s="234" t="n"/>
      <c r="V29" s="234" t="n"/>
    </row>
    <row r="30">
      <c r="A30" s="377" t="inlineStr">
        <is>
          <t>Electronics (Consumer &amp; Office)</t>
        </is>
      </c>
      <c r="B30" s="673" t="n">
        <v>122</v>
      </c>
      <c r="C30" s="495" t="n">
        <v>0.0103</v>
      </c>
      <c r="D30" s="495" t="n">
        <v>0.0732</v>
      </c>
      <c r="E30" s="495" t="n">
        <v>0.164</v>
      </c>
      <c r="F30" s="495" t="n">
        <v>-0.02444211994421199</v>
      </c>
      <c r="G30" s="495" t="n">
        <v>0.03003080082135523</v>
      </c>
      <c r="H30" s="495" t="n">
        <v>0.07981755986316991</v>
      </c>
      <c r="I30" s="674" t="n">
        <v>0.9240591397849461</v>
      </c>
      <c r="J30" s="674" t="n">
        <v>1.65673420738975</v>
      </c>
      <c r="K30" s="674" t="n">
        <v>2.81413612565445</v>
      </c>
      <c r="L30" s="495" t="n">
        <v>0.09495939001151681</v>
      </c>
      <c r="M30" s="495" t="n">
        <v>0.09861600339537743</v>
      </c>
      <c r="N30" s="495" t="n">
        <v>0.1000350365354598</v>
      </c>
      <c r="O30" s="674" t="n">
        <v>0.5713597461205364</v>
      </c>
      <c r="P30" s="674" t="n">
        <v>1.220155307439572</v>
      </c>
      <c r="Q30" s="674" t="n">
        <v>1.883010643499716</v>
      </c>
      <c r="R30" s="495" t="n">
        <v>0.01188513923831006</v>
      </c>
      <c r="S30" s="495" t="n">
        <v>0.06571428571428571</v>
      </c>
      <c r="T30" s="495" t="n">
        <v>0.2465373961218837</v>
      </c>
      <c r="U30" s="234" t="n"/>
      <c r="V30" s="234" t="n"/>
    </row>
    <row r="31">
      <c r="A31" s="377" t="inlineStr">
        <is>
          <t>Electronics (General)</t>
        </is>
      </c>
      <c r="B31" s="673" t="n">
        <v>1481</v>
      </c>
      <c r="C31" s="495" t="n">
        <v>0.0548</v>
      </c>
      <c r="D31" s="495" t="n">
        <v>0.123</v>
      </c>
      <c r="E31" s="495" t="n">
        <v>0.251</v>
      </c>
      <c r="F31" s="495" t="n">
        <v>-0.05154134725167183</v>
      </c>
      <c r="G31" s="495" t="n">
        <v>0.03745092117185141</v>
      </c>
      <c r="H31" s="495" t="n">
        <v>0.1007829181494662</v>
      </c>
      <c r="I31" s="674" t="n">
        <v>0.6444205720424331</v>
      </c>
      <c r="J31" s="674" t="n">
        <v>1.135127815446482</v>
      </c>
      <c r="K31" s="674" t="n">
        <v>1.872349448685326</v>
      </c>
      <c r="L31" s="495" t="n">
        <v>0.1114596731248432</v>
      </c>
      <c r="M31" s="495" t="n">
        <v>0.1170205825069431</v>
      </c>
      <c r="N31" s="495" t="n">
        <v>0.119559595473577</v>
      </c>
      <c r="O31" s="674" t="n">
        <v>0.9157171731553351</v>
      </c>
      <c r="P31" s="674" t="n">
        <v>1.565511906283383</v>
      </c>
      <c r="Q31" s="674" t="n">
        <v>2.230314679029318</v>
      </c>
      <c r="R31" s="495" t="n">
        <v>0.01462837474454125</v>
      </c>
      <c r="S31" s="495" t="n">
        <v>0.07694915254237289</v>
      </c>
      <c r="T31" s="495" t="n">
        <v>0.2293468928657027</v>
      </c>
      <c r="U31" s="234" t="n"/>
      <c r="V31" s="234" t="n"/>
    </row>
    <row r="32">
      <c r="A32" s="377" t="inlineStr">
        <is>
          <t>Engineering/Construction</t>
        </is>
      </c>
      <c r="B32" s="673" t="n">
        <v>1390</v>
      </c>
      <c r="C32" s="495" t="n">
        <v>0.032</v>
      </c>
      <c r="D32" s="495" t="n">
        <v>0.08039999999999999</v>
      </c>
      <c r="E32" s="495" t="n">
        <v>0.156</v>
      </c>
      <c r="F32" s="495" t="n">
        <v>0.0069375</v>
      </c>
      <c r="G32" s="495" t="n">
        <v>0.05341176470588235</v>
      </c>
      <c r="H32" s="495" t="n">
        <v>0.1067632850241546</v>
      </c>
      <c r="I32" s="674" t="n">
        <v>0.7805825242718448</v>
      </c>
      <c r="J32" s="674" t="n">
        <v>1.71644240236298</v>
      </c>
      <c r="K32" s="674" t="n">
        <v>3.180778032036613</v>
      </c>
      <c r="L32" s="495" t="n">
        <v>0.07537503093666223</v>
      </c>
      <c r="M32" s="495" t="n">
        <v>0.07829982900250396</v>
      </c>
      <c r="N32" s="495" t="n">
        <v>0.09028029352100143</v>
      </c>
      <c r="O32" s="674" t="n">
        <v>0.4306430496845546</v>
      </c>
      <c r="P32" s="674" t="n">
        <v>0.9490760540120351</v>
      </c>
      <c r="Q32" s="674" t="n">
        <v>1.457981987789615</v>
      </c>
      <c r="R32" s="495" t="n">
        <v>0.03452816386247257</v>
      </c>
      <c r="S32" s="495" t="n">
        <v>0.1701729780271155</v>
      </c>
      <c r="T32" s="495" t="n">
        <v>0.43605359317905</v>
      </c>
      <c r="U32" s="234" t="n"/>
      <c r="V32" s="234" t="n"/>
    </row>
    <row r="33">
      <c r="A33" s="377" t="inlineStr">
        <is>
          <t>Entertainment</t>
        </is>
      </c>
      <c r="B33" s="673" t="n">
        <v>733</v>
      </c>
      <c r="C33" s="495" t="n">
        <v>0.0256</v>
      </c>
      <c r="D33" s="495" t="n">
        <v>0.0741</v>
      </c>
      <c r="E33" s="495" t="n">
        <v>0.176</v>
      </c>
      <c r="F33" s="495" t="n">
        <v>-0.2332878581173261</v>
      </c>
      <c r="G33" s="495" t="n">
        <v>0.001507537688442211</v>
      </c>
      <c r="H33" s="495" t="n">
        <v>0.1173669467787115</v>
      </c>
      <c r="I33" s="674" t="n">
        <v>0.4514889529298751</v>
      </c>
      <c r="J33" s="674" t="n">
        <v>1.016617790811339</v>
      </c>
      <c r="K33" s="674" t="n">
        <v>2.288922155688623</v>
      </c>
      <c r="L33" s="495" t="n">
        <v>0.08264693994797952</v>
      </c>
      <c r="M33" s="495" t="n">
        <v>0.08783758017883901</v>
      </c>
      <c r="N33" s="495" t="n">
        <v>0.09106349549837015</v>
      </c>
      <c r="O33" s="674" t="n">
        <v>0.3448570129393053</v>
      </c>
      <c r="P33" s="674" t="n">
        <v>0.8939638692740336</v>
      </c>
      <c r="Q33" s="674" t="n">
        <v>1.557637480836163</v>
      </c>
      <c r="R33" s="495" t="n">
        <v>0.001274435033918035</v>
      </c>
      <c r="S33" s="495" t="n">
        <v>0.05435338217754303</v>
      </c>
      <c r="T33" s="495" t="n">
        <v>0.247534516765286</v>
      </c>
      <c r="U33" s="234" t="n"/>
      <c r="V33" s="234" t="n"/>
    </row>
    <row r="34">
      <c r="A34" s="377" t="inlineStr">
        <is>
          <t>Environmental &amp; Waste Services</t>
        </is>
      </c>
      <c r="B34" s="673" t="n">
        <v>397</v>
      </c>
      <c r="C34" s="495" t="n">
        <v>0.0304</v>
      </c>
      <c r="D34" s="495" t="n">
        <v>0.09820000000000001</v>
      </c>
      <c r="E34" s="495" t="n">
        <v>0.238</v>
      </c>
      <c r="F34" s="495" t="n">
        <v>-0.0761904761904762</v>
      </c>
      <c r="G34" s="495" t="n">
        <v>0.04576807228915662</v>
      </c>
      <c r="H34" s="495" t="n">
        <v>0.1258312020460358</v>
      </c>
      <c r="I34" s="674" t="n">
        <v>0.3617619493908154</v>
      </c>
      <c r="J34" s="674" t="n">
        <v>0.8477151191054936</v>
      </c>
      <c r="K34" s="674" t="n">
        <v>2.214116344858063</v>
      </c>
      <c r="L34" s="495" t="n">
        <v>0.07917036921829745</v>
      </c>
      <c r="M34" s="495" t="n">
        <v>0.08316592905085715</v>
      </c>
      <c r="N34" s="495" t="n">
        <v>0.08575690558961198</v>
      </c>
      <c r="O34" s="674" t="n">
        <v>0.51419252508556</v>
      </c>
      <c r="P34" s="674" t="n">
        <v>1.021942857501494</v>
      </c>
      <c r="Q34" s="674" t="n">
        <v>1.660123960674913</v>
      </c>
      <c r="R34" s="495" t="n">
        <v>0.029110620471461</v>
      </c>
      <c r="S34" s="495" t="n">
        <v>0.1805177111716621</v>
      </c>
      <c r="T34" s="495" t="n">
        <v>0.4400656086532494</v>
      </c>
      <c r="U34" s="234" t="n"/>
      <c r="V34" s="234" t="n"/>
    </row>
    <row r="35">
      <c r="A35" s="377" t="inlineStr">
        <is>
          <t>Farming/Agriculture</t>
        </is>
      </c>
      <c r="B35" s="673" t="n">
        <v>428</v>
      </c>
      <c r="C35" s="495" t="n">
        <v>0.0251</v>
      </c>
      <c r="D35" s="495" t="n">
        <v>0.0549</v>
      </c>
      <c r="E35" s="495" t="n">
        <v>0.105</v>
      </c>
      <c r="F35" s="495" t="n">
        <v>0.006234567901234569</v>
      </c>
      <c r="G35" s="495" t="n">
        <v>0.06451672905140286</v>
      </c>
      <c r="H35" s="495" t="n">
        <v>0.152087707021227</v>
      </c>
      <c r="I35" s="674" t="n">
        <v>0.584848872941194</v>
      </c>
      <c r="J35" s="674" t="n">
        <v>1.043518216224713</v>
      </c>
      <c r="K35" s="674" t="n">
        <v>1.900479616306954</v>
      </c>
      <c r="L35" s="495" t="n">
        <v>0.06247598946766653</v>
      </c>
      <c r="M35" s="495" t="n">
        <v>0.0679618726397104</v>
      </c>
      <c r="N35" s="495" t="n">
        <v>0.07430058105165405</v>
      </c>
      <c r="O35" s="674" t="n">
        <v>0.1526633036299989</v>
      </c>
      <c r="P35" s="674" t="n">
        <v>0.5488238602558952</v>
      </c>
      <c r="Q35" s="674" t="n">
        <v>1.167984265126113</v>
      </c>
      <c r="R35" s="495" t="n">
        <v>0.006458022851465475</v>
      </c>
      <c r="S35" s="495" t="n">
        <v>0.1291067492390049</v>
      </c>
      <c r="T35" s="495" t="n">
        <v>0.3595499232823777</v>
      </c>
      <c r="U35" s="234" t="n"/>
      <c r="V35" s="234" t="n"/>
    </row>
    <row r="36">
      <c r="A36" s="377" t="inlineStr">
        <is>
          <t>Financial Svcs. (Non-bank &amp; Insurance)</t>
        </is>
      </c>
      <c r="B36" s="673" t="n">
        <v>1138</v>
      </c>
      <c r="C36" s="495" t="n">
        <v>0.0409</v>
      </c>
      <c r="D36" s="495" t="n">
        <v>0.09029999999999999</v>
      </c>
      <c r="E36" s="495" t="n">
        <v>0.175</v>
      </c>
      <c r="F36" s="495" t="n">
        <v>0</v>
      </c>
      <c r="G36" s="495" t="n">
        <v>0</v>
      </c>
      <c r="H36" s="495" t="n">
        <v>0.163032343041124</v>
      </c>
      <c r="I36" s="674" t="n">
        <v>0.0836890350570289</v>
      </c>
      <c r="J36" s="674" t="n">
        <v>0.2298084929225645</v>
      </c>
      <c r="K36" s="674" t="n">
        <v>0.8985938035898022</v>
      </c>
      <c r="L36" s="495" t="n">
        <v>0.05265466833856907</v>
      </c>
      <c r="M36" s="495" t="n">
        <v>0.05858215058725549</v>
      </c>
      <c r="N36" s="495" t="n">
        <v>0.06140264556270519</v>
      </c>
      <c r="O36" s="674" t="n">
        <v>0.2347942650381843</v>
      </c>
      <c r="P36" s="674" t="n">
        <v>0.7280631915007243</v>
      </c>
      <c r="Q36" s="674" t="n">
        <v>1.280962048959499</v>
      </c>
      <c r="R36" s="495" t="n">
        <v>0.01647171162568632</v>
      </c>
      <c r="S36" s="495" t="n">
        <v>0.2302839547785845</v>
      </c>
      <c r="T36" s="495" t="n">
        <v>0.5881111316324108</v>
      </c>
      <c r="U36" s="234" t="n"/>
      <c r="V36" s="234" t="n"/>
    </row>
    <row r="37">
      <c r="A37" s="377" t="inlineStr">
        <is>
          <t>Food Processing</t>
        </is>
      </c>
      <c r="B37" s="673" t="n">
        <v>1450</v>
      </c>
      <c r="C37" s="495" t="n">
        <v>0.0199</v>
      </c>
      <c r="D37" s="495" t="n">
        <v>0.05429999999999999</v>
      </c>
      <c r="E37" s="495" t="n">
        <v>0.115</v>
      </c>
      <c r="F37" s="495" t="n">
        <v>0.0135663082437276</v>
      </c>
      <c r="G37" s="495" t="n">
        <v>0.05253063579890695</v>
      </c>
      <c r="H37" s="495" t="n">
        <v>0.102112676056338</v>
      </c>
      <c r="I37" s="674" t="n">
        <v>0.9046936207393905</v>
      </c>
      <c r="J37" s="674" t="n">
        <v>1.539946068841538</v>
      </c>
      <c r="K37" s="674" t="n">
        <v>2.466922164431061</v>
      </c>
      <c r="L37" s="495" t="n">
        <v>0.06615432402611701</v>
      </c>
      <c r="M37" s="495" t="n">
        <v>0.07177966606443835</v>
      </c>
      <c r="N37" s="495" t="n">
        <v>0.07911750310171253</v>
      </c>
      <c r="O37" s="674" t="n">
        <v>0.1887958922934828</v>
      </c>
      <c r="P37" s="674" t="n">
        <v>0.5987418116484848</v>
      </c>
      <c r="Q37" s="674" t="n">
        <v>1.079224502758801</v>
      </c>
      <c r="R37" s="495" t="n">
        <v>0.0308482957604809</v>
      </c>
      <c r="S37" s="495" t="n">
        <v>0.1785252263906856</v>
      </c>
      <c r="T37" s="495" t="n">
        <v>0.4225560206845604</v>
      </c>
      <c r="U37" s="234" t="n"/>
      <c r="V37" s="234" t="n"/>
    </row>
    <row r="38">
      <c r="A38" s="377" t="inlineStr">
        <is>
          <t>Food Wholesalers</t>
        </is>
      </c>
      <c r="B38" s="673" t="n">
        <v>183</v>
      </c>
      <c r="C38" s="495" t="n">
        <v>0.0282</v>
      </c>
      <c r="D38" s="495" t="n">
        <v>0.044</v>
      </c>
      <c r="E38" s="495" t="n">
        <v>0.07700000000000001</v>
      </c>
      <c r="F38" s="495" t="n">
        <v>0.004958500413048975</v>
      </c>
      <c r="G38" s="495" t="n">
        <v>0.02741407528641571</v>
      </c>
      <c r="H38" s="495" t="n">
        <v>0.05039370078740157</v>
      </c>
      <c r="I38" s="674" t="n">
        <v>1.148845332815835</v>
      </c>
      <c r="J38" s="674" t="n">
        <v>3.217265809498819</v>
      </c>
      <c r="K38" s="674" t="n">
        <v>6.28166957446556</v>
      </c>
      <c r="L38" s="495" t="n">
        <v>0.06257408035373775</v>
      </c>
      <c r="M38" s="495" t="n">
        <v>0.06717092574436662</v>
      </c>
      <c r="N38" s="495" t="n">
        <v>0.07378072397430369</v>
      </c>
      <c r="O38" s="674" t="n">
        <v>0.2721682869420389</v>
      </c>
      <c r="P38" s="674" t="n">
        <v>0.628645596503942</v>
      </c>
      <c r="Q38" s="674" t="n">
        <v>1.022914034379432</v>
      </c>
      <c r="R38" s="495" t="n">
        <v>0.01183020180932498</v>
      </c>
      <c r="S38" s="495" t="n">
        <v>0.1880050939450504</v>
      </c>
      <c r="T38" s="495" t="n">
        <v>0.3734986004745738</v>
      </c>
      <c r="U38" s="234" t="n"/>
      <c r="V38" s="234" t="n"/>
    </row>
    <row r="39">
      <c r="A39" s="377" t="inlineStr">
        <is>
          <t>Furn/Home Furnishings</t>
        </is>
      </c>
      <c r="B39" s="673" t="n">
        <v>383</v>
      </c>
      <c r="C39" s="495" t="n">
        <v>0.0148</v>
      </c>
      <c r="D39" s="495" t="n">
        <v>0.0534</v>
      </c>
      <c r="E39" s="495" t="n">
        <v>0.101</v>
      </c>
      <c r="F39" s="495" t="n">
        <v>-0.001572327044025157</v>
      </c>
      <c r="G39" s="495" t="n">
        <v>0.04504864640530161</v>
      </c>
      <c r="H39" s="495" t="n">
        <v>0.09304196272958842</v>
      </c>
      <c r="I39" s="674" t="n">
        <v>0.8941051888457465</v>
      </c>
      <c r="J39" s="674" t="n">
        <v>1.470522957414343</v>
      </c>
      <c r="K39" s="674" t="n">
        <v>2.213840799876872</v>
      </c>
      <c r="L39" s="495" t="n">
        <v>0.08450008066207201</v>
      </c>
      <c r="M39" s="495" t="n">
        <v>0.08748949601473778</v>
      </c>
      <c r="N39" s="495" t="n">
        <v>0.1014696490460211</v>
      </c>
      <c r="O39" s="674" t="n">
        <v>0.4196107420565348</v>
      </c>
      <c r="P39" s="674" t="n">
        <v>0.8446733693805086</v>
      </c>
      <c r="Q39" s="674" t="n">
        <v>1.362061494124378</v>
      </c>
      <c r="R39" s="495" t="n">
        <v>0.02173913043478261</v>
      </c>
      <c r="S39" s="495" t="n">
        <v>0.130558183538316</v>
      </c>
      <c r="T39" s="495" t="n">
        <v>0.3358024691358025</v>
      </c>
      <c r="U39" s="234" t="n"/>
      <c r="V39" s="234" t="n"/>
    </row>
    <row r="40">
      <c r="A40" s="377" t="inlineStr">
        <is>
          <t>Green &amp; Renewable Energy</t>
        </is>
      </c>
      <c r="B40" s="673" t="n">
        <v>258</v>
      </c>
      <c r="C40" s="495" t="n">
        <v>0.0265</v>
      </c>
      <c r="D40" s="495" t="n">
        <v>0.08130000000000001</v>
      </c>
      <c r="E40" s="495" t="n">
        <v>0.177</v>
      </c>
      <c r="F40" s="495" t="n">
        <v>-0.007752293577981652</v>
      </c>
      <c r="G40" s="495" t="n">
        <v>0.1949901768172888</v>
      </c>
      <c r="H40" s="495" t="n">
        <v>0.3579234972677595</v>
      </c>
      <c r="I40" s="674" t="n">
        <v>0.1182486932954766</v>
      </c>
      <c r="J40" s="674" t="n">
        <v>0.2097179960227137</v>
      </c>
      <c r="K40" s="674" t="n">
        <v>0.4494870457311771</v>
      </c>
      <c r="L40" s="495" t="n">
        <v>0.0646192130717998</v>
      </c>
      <c r="M40" s="495" t="n">
        <v>0.07061223968846346</v>
      </c>
      <c r="N40" s="495" t="n">
        <v>0.07873865554534695</v>
      </c>
      <c r="O40" s="674" t="n">
        <v>0.2810907004944809</v>
      </c>
      <c r="P40" s="674" t="n">
        <v>0.7930331488915385</v>
      </c>
      <c r="Q40" s="674" t="n">
        <v>1.280224565005227</v>
      </c>
      <c r="R40" s="495" t="n">
        <v>0.0657124268054652</v>
      </c>
      <c r="S40" s="495" t="n">
        <v>0.329593267882188</v>
      </c>
      <c r="T40" s="495" t="n">
        <v>0.557821911118346</v>
      </c>
      <c r="U40" s="234" t="n"/>
      <c r="V40" s="234" t="n"/>
    </row>
    <row r="41">
      <c r="A41" s="377" t="inlineStr">
        <is>
          <t>Healthcare Products</t>
        </is>
      </c>
      <c r="B41" s="673" t="n">
        <v>842</v>
      </c>
      <c r="C41" s="495" t="n">
        <v>0.0446</v>
      </c>
      <c r="D41" s="495" t="n">
        <v>0.11</v>
      </c>
      <c r="E41" s="495" t="n">
        <v>0.233</v>
      </c>
      <c r="F41" s="495" t="n">
        <v>-0.5308641975308641</v>
      </c>
      <c r="G41" s="495" t="n">
        <v>0.01027367506516073</v>
      </c>
      <c r="H41" s="495" t="n">
        <v>0.1307262569832402</v>
      </c>
      <c r="I41" s="674" t="n">
        <v>0.4689660522700895</v>
      </c>
      <c r="J41" s="674" t="n">
        <v>0.9157181464269125</v>
      </c>
      <c r="K41" s="674" t="n">
        <v>1.616525423728813</v>
      </c>
      <c r="L41" s="495" t="n">
        <v>0.08744925338917792</v>
      </c>
      <c r="M41" s="495" t="n">
        <v>0.09252639622560148</v>
      </c>
      <c r="N41" s="495" t="n">
        <v>0.0962322987356198</v>
      </c>
      <c r="O41" s="674" t="n">
        <v>0.5997282199407509</v>
      </c>
      <c r="P41" s="674" t="n">
        <v>1.026791772590601</v>
      </c>
      <c r="Q41" s="674" t="n">
        <v>1.630784659634302</v>
      </c>
      <c r="R41" s="495" t="n">
        <v>0.008385796401821483</v>
      </c>
      <c r="S41" s="495" t="n">
        <v>0.06880845589513578</v>
      </c>
      <c r="T41" s="495" t="n">
        <v>0.2129789437348982</v>
      </c>
      <c r="U41" s="234" t="n"/>
      <c r="V41" s="234" t="n"/>
    </row>
    <row r="42">
      <c r="A42" s="377" t="inlineStr">
        <is>
          <t>Healthcare Support Services</t>
        </is>
      </c>
      <c r="B42" s="673" t="n">
        <v>478</v>
      </c>
      <c r="C42" s="495" t="n">
        <v>0.0318</v>
      </c>
      <c r="D42" s="495" t="n">
        <v>0.06809999999999999</v>
      </c>
      <c r="E42" s="495" t="n">
        <v>0.149</v>
      </c>
      <c r="F42" s="495" t="n">
        <v>-0.0260655737704918</v>
      </c>
      <c r="G42" s="495" t="n">
        <v>0.03379450285925106</v>
      </c>
      <c r="H42" s="495" t="n">
        <v>0.1016003027475619</v>
      </c>
      <c r="I42" s="674" t="n">
        <v>1.004275106877672</v>
      </c>
      <c r="J42" s="674" t="n">
        <v>1.853086607573372</v>
      </c>
      <c r="K42" s="674" t="n">
        <v>4.195736434108529</v>
      </c>
      <c r="L42" s="495" t="n">
        <v>0.07323330817648918</v>
      </c>
      <c r="M42" s="495" t="n">
        <v>0.07754250444156752</v>
      </c>
      <c r="N42" s="495" t="n">
        <v>0.08409735560525136</v>
      </c>
      <c r="O42" s="674" t="n">
        <v>0.3976941697921059</v>
      </c>
      <c r="P42" s="674" t="n">
        <v>0.7965540400280601</v>
      </c>
      <c r="Q42" s="674" t="n">
        <v>1.322427679033534</v>
      </c>
      <c r="R42" s="495" t="n">
        <v>0.03172702783597725</v>
      </c>
      <c r="S42" s="495" t="n">
        <v>0.1610990441768019</v>
      </c>
      <c r="T42" s="495" t="n">
        <v>0.3740356477786645</v>
      </c>
      <c r="U42" s="234" t="n"/>
      <c r="V42" s="234" t="n"/>
    </row>
    <row r="43">
      <c r="A43" s="377" t="inlineStr">
        <is>
          <t>Heathcare Information and Technology</t>
        </is>
      </c>
      <c r="B43" s="673" t="n">
        <v>430</v>
      </c>
      <c r="C43" s="495" t="n">
        <v>0.0387</v>
      </c>
      <c r="D43" s="495" t="n">
        <v>0.0978</v>
      </c>
      <c r="E43" s="495" t="n">
        <v>0.187</v>
      </c>
      <c r="F43" s="495" t="n">
        <v>-0.7275320970042797</v>
      </c>
      <c r="G43" s="495" t="n">
        <v>-0.02328179267324885</v>
      </c>
      <c r="H43" s="495" t="n">
        <v>0.1231630510846746</v>
      </c>
      <c r="I43" s="674" t="n">
        <v>0.3680526092490454</v>
      </c>
      <c r="J43" s="674" t="n">
        <v>0.8927745936076563</v>
      </c>
      <c r="K43" s="674" t="n">
        <v>1.773658443469255</v>
      </c>
      <c r="L43" s="495" t="n">
        <v>0.09068327956559141</v>
      </c>
      <c r="M43" s="495" t="n">
        <v>0.09501889603190178</v>
      </c>
      <c r="N43" s="495" t="n">
        <v>0.1010410133747265</v>
      </c>
      <c r="O43" s="674" t="n">
        <v>0.6913710217846579</v>
      </c>
      <c r="P43" s="674" t="n">
        <v>1.159474692527103</v>
      </c>
      <c r="Q43" s="674" t="n">
        <v>1.839832147467374</v>
      </c>
      <c r="R43" s="495" t="n">
        <v>0.002208946232240574</v>
      </c>
      <c r="S43" s="495" t="n">
        <v>0.04124810496410176</v>
      </c>
      <c r="T43" s="495" t="n">
        <v>0.1888431743172342</v>
      </c>
      <c r="U43" s="234" t="n"/>
      <c r="V43" s="234" t="n"/>
    </row>
    <row r="44">
      <c r="A44" s="377" t="inlineStr">
        <is>
          <t>Homebuilding</t>
        </is>
      </c>
      <c r="B44" s="673" t="n">
        <v>160</v>
      </c>
      <c r="C44" s="495" t="n">
        <v>-0.00768</v>
      </c>
      <c r="D44" s="495" t="n">
        <v>0.0563</v>
      </c>
      <c r="E44" s="495" t="n">
        <v>0.114</v>
      </c>
      <c r="F44" s="495" t="n">
        <v>0.01420606825074801</v>
      </c>
      <c r="G44" s="495" t="n">
        <v>0.07479657519732877</v>
      </c>
      <c r="H44" s="495" t="n">
        <v>0.1342496182146328</v>
      </c>
      <c r="I44" s="674" t="n">
        <v>0.6128616082638473</v>
      </c>
      <c r="J44" s="674" t="n">
        <v>1.333916083916084</v>
      </c>
      <c r="K44" s="674" t="n">
        <v>2.395657347459635</v>
      </c>
      <c r="L44" s="495" t="n">
        <v>0.0744895007689392</v>
      </c>
      <c r="M44" s="495" t="n">
        <v>0.07765384372206141</v>
      </c>
      <c r="N44" s="495" t="n">
        <v>0.08322601171315179</v>
      </c>
      <c r="O44" s="674" t="n">
        <v>0.4487604902387416</v>
      </c>
      <c r="P44" s="674" t="n">
        <v>0.8914094287645601</v>
      </c>
      <c r="Q44" s="674" t="n">
        <v>1.318692679652223</v>
      </c>
      <c r="R44" s="495" t="n">
        <v>0.08236705317872851</v>
      </c>
      <c r="S44" s="495" t="n">
        <v>0.2958445211609769</v>
      </c>
      <c r="T44" s="495" t="n">
        <v>0.5870524767042667</v>
      </c>
      <c r="U44" s="234" t="n"/>
      <c r="V44" s="234" t="n"/>
    </row>
    <row r="45">
      <c r="A45" s="377" t="inlineStr">
        <is>
          <t>Hospitals/Healthcare Facilities</t>
        </is>
      </c>
      <c r="B45" s="673" t="n">
        <v>249</v>
      </c>
      <c r="C45" s="495" t="n">
        <v>0.0479</v>
      </c>
      <c r="D45" s="495" t="n">
        <v>0.09429999999999999</v>
      </c>
      <c r="E45" s="495" t="n">
        <v>0.162</v>
      </c>
      <c r="F45" s="495" t="n">
        <v>0.0377845220030349</v>
      </c>
      <c r="G45" s="495" t="n">
        <v>0.09957857531266992</v>
      </c>
      <c r="H45" s="495" t="n">
        <v>0.1636615811373093</v>
      </c>
      <c r="I45" s="674" t="n">
        <v>0.7102723232639637</v>
      </c>
      <c r="J45" s="674" t="n">
        <v>1.078467340739328</v>
      </c>
      <c r="K45" s="674" t="n">
        <v>1.730584851390221</v>
      </c>
      <c r="L45" s="495" t="n">
        <v>0.06645065180377357</v>
      </c>
      <c r="M45" s="495" t="n">
        <v>0.07196894726066132</v>
      </c>
      <c r="N45" s="495" t="n">
        <v>0.08035340929599769</v>
      </c>
      <c r="O45" s="674" t="n">
        <v>0.2140368753735465</v>
      </c>
      <c r="P45" s="674" t="n">
        <v>0.7227342751859889</v>
      </c>
      <c r="Q45" s="674" t="n">
        <v>1.10708236438628</v>
      </c>
      <c r="R45" s="495" t="n">
        <v>0.04374878599633402</v>
      </c>
      <c r="S45" s="495" t="n">
        <v>0.1680419199628277</v>
      </c>
      <c r="T45" s="495" t="n">
        <v>0.4023297178530324</v>
      </c>
      <c r="U45" s="234" t="n"/>
      <c r="V45" s="234" t="n"/>
    </row>
    <row r="46">
      <c r="A46" s="377" t="inlineStr">
        <is>
          <t>Hotel/Gaming</t>
        </is>
      </c>
      <c r="B46" s="673" t="n">
        <v>656</v>
      </c>
      <c r="C46" s="495" t="n">
        <v>0.0329</v>
      </c>
      <c r="D46" s="495" t="n">
        <v>0.07150000000000001</v>
      </c>
      <c r="E46" s="495" t="n">
        <v>0.125</v>
      </c>
      <c r="F46" s="495" t="n">
        <v>0</v>
      </c>
      <c r="G46" s="495" t="n">
        <v>0.09793491864831039</v>
      </c>
      <c r="H46" s="495" t="n">
        <v>0.1947375685727379</v>
      </c>
      <c r="I46" s="674" t="n">
        <v>0.2427342984652226</v>
      </c>
      <c r="J46" s="674" t="n">
        <v>0.577110547865081</v>
      </c>
      <c r="K46" s="674" t="n">
        <v>1.441192711209277</v>
      </c>
      <c r="L46" s="495" t="n">
        <v>0.06990686850923153</v>
      </c>
      <c r="M46" s="495" t="n">
        <v>0.07446020950807353</v>
      </c>
      <c r="N46" s="495" t="n">
        <v>0.08582873706497002</v>
      </c>
      <c r="O46" s="674" t="n">
        <v>0.2775794444657708</v>
      </c>
      <c r="P46" s="674" t="n">
        <v>0.7454059593285908</v>
      </c>
      <c r="Q46" s="674" t="n">
        <v>1.236028943364968</v>
      </c>
      <c r="R46" s="495" t="n">
        <v>0.02079260707304069</v>
      </c>
      <c r="S46" s="495" t="n">
        <v>0.1686504796067639</v>
      </c>
      <c r="T46" s="495" t="n">
        <v>0.4575192544798202</v>
      </c>
      <c r="U46" s="234" t="n"/>
      <c r="V46" s="234" t="n"/>
    </row>
    <row r="47">
      <c r="A47" s="377" t="inlineStr">
        <is>
          <t>Household Products</t>
        </is>
      </c>
      <c r="B47" s="673" t="n">
        <v>588</v>
      </c>
      <c r="C47" s="495" t="n">
        <v>0.0151</v>
      </c>
      <c r="D47" s="495" t="n">
        <v>0.0585</v>
      </c>
      <c r="E47" s="495" t="n">
        <v>0.135</v>
      </c>
      <c r="F47" s="495" t="n">
        <v>-0.01736733287388008</v>
      </c>
      <c r="G47" s="495" t="n">
        <v>0.05712736778462112</v>
      </c>
      <c r="H47" s="495" t="n">
        <v>0.1271578947368421</v>
      </c>
      <c r="I47" s="674" t="n">
        <v>0.7748579545454545</v>
      </c>
      <c r="J47" s="674" t="n">
        <v>1.402027027027027</v>
      </c>
      <c r="K47" s="674" t="n">
        <v>2.504213821333976</v>
      </c>
      <c r="L47" s="495" t="n">
        <v>0.07393190413445511</v>
      </c>
      <c r="M47" s="495" t="n">
        <v>0.07792301885844735</v>
      </c>
      <c r="N47" s="495" t="n">
        <v>0.08532235762908461</v>
      </c>
      <c r="O47" s="674" t="n">
        <v>0.2553121870077693</v>
      </c>
      <c r="P47" s="674" t="n">
        <v>0.6928780699404847</v>
      </c>
      <c r="Q47" s="674" t="n">
        <v>1.247251895307802</v>
      </c>
      <c r="R47" s="495" t="n">
        <v>0.002711329548725154</v>
      </c>
      <c r="S47" s="495" t="n">
        <v>0.06395348837209303</v>
      </c>
      <c r="T47" s="495" t="n">
        <v>0.270552653285675</v>
      </c>
      <c r="U47" s="234" t="n"/>
      <c r="V47" s="234" t="n"/>
    </row>
    <row r="48">
      <c r="A48" s="377" t="inlineStr">
        <is>
          <t>Information Services</t>
        </is>
      </c>
      <c r="B48" s="673" t="n">
        <v>86</v>
      </c>
      <c r="C48" s="495" t="n">
        <v>0.00592</v>
      </c>
      <c r="D48" s="495" t="n">
        <v>0.05990000000000001</v>
      </c>
      <c r="E48" s="495" t="n">
        <v>0.126</v>
      </c>
      <c r="F48" s="495" t="n">
        <v>0.01168865435356201</v>
      </c>
      <c r="G48" s="495" t="n">
        <v>0.07669021190716449</v>
      </c>
      <c r="H48" s="495" t="n">
        <v>0.1495412844036697</v>
      </c>
      <c r="I48" s="674" t="n">
        <v>0.9696146245059288</v>
      </c>
      <c r="J48" s="674" t="n">
        <v>2.177494449042769</v>
      </c>
      <c r="K48" s="674" t="n">
        <v>3.228096733443112</v>
      </c>
      <c r="L48" s="495" t="n">
        <v>0.07873329713474236</v>
      </c>
      <c r="M48" s="495" t="n">
        <v>0.08440911574471649</v>
      </c>
      <c r="N48" s="495" t="n">
        <v>0.100122221316747</v>
      </c>
      <c r="O48" s="674" t="n">
        <v>0.4814818629193295</v>
      </c>
      <c r="P48" s="674" t="n">
        <v>0.8428014209023708</v>
      </c>
      <c r="Q48" s="674" t="n">
        <v>1.567771937756151</v>
      </c>
      <c r="R48" s="495" t="n">
        <v>0.01108269394714407</v>
      </c>
      <c r="S48" s="495" t="n">
        <v>0.1277955271565495</v>
      </c>
      <c r="T48" s="495" t="n">
        <v>0.2478860703159769</v>
      </c>
      <c r="U48" s="234" t="n"/>
      <c r="V48" s="234" t="n"/>
    </row>
    <row r="49">
      <c r="A49" s="377" t="inlineStr">
        <is>
          <t>Insurance (General)</t>
        </is>
      </c>
      <c r="B49" s="673" t="n">
        <v>204</v>
      </c>
      <c r="C49" s="495" t="n">
        <v>0.0395</v>
      </c>
      <c r="D49" s="495" t="n">
        <v>0.07880000000000001</v>
      </c>
      <c r="E49" s="495" t="n">
        <v>0.175</v>
      </c>
      <c r="F49" s="495" t="n">
        <v>0.0509940137462124</v>
      </c>
      <c r="G49" s="495" t="n">
        <v>0.1076178787580114</v>
      </c>
      <c r="H49" s="495" t="n">
        <v>0.2043918918918919</v>
      </c>
      <c r="I49" s="674" t="n">
        <v>0.9542258911643133</v>
      </c>
      <c r="J49" s="674" t="n">
        <v>1.698082247974567</v>
      </c>
      <c r="K49" s="674" t="n">
        <v>3.190501898059031</v>
      </c>
      <c r="L49" s="495" t="n">
        <v>0.06253877806632288</v>
      </c>
      <c r="M49" s="495" t="n">
        <v>0.0659807078092521</v>
      </c>
      <c r="N49" s="495" t="n">
        <v>0.07466034327890209</v>
      </c>
      <c r="O49" s="674" t="n">
        <v>0.07491409587099011</v>
      </c>
      <c r="P49" s="674" t="n">
        <v>0.4769037806418541</v>
      </c>
      <c r="Q49" s="674" t="n">
        <v>0.8584494706542573</v>
      </c>
      <c r="R49" s="495" t="n">
        <v>0.0009832272990167726</v>
      </c>
      <c r="S49" s="495" t="n">
        <v>0.0593533706267185</v>
      </c>
      <c r="T49" s="495" t="n">
        <v>0.2078350945985965</v>
      </c>
      <c r="U49" s="234" t="n"/>
      <c r="V49" s="234" t="n"/>
    </row>
    <row r="50">
      <c r="A50" s="377" t="inlineStr">
        <is>
          <t>Insurance (Life)</t>
        </is>
      </c>
      <c r="B50" s="673" t="n">
        <v>143</v>
      </c>
      <c r="C50" s="495" t="n">
        <v>0.0159</v>
      </c>
      <c r="D50" s="495" t="n">
        <v>0.0483</v>
      </c>
      <c r="E50" s="495" t="n">
        <v>0.1</v>
      </c>
      <c r="F50" s="495" t="n">
        <v>0.05181138585393905</v>
      </c>
      <c r="G50" s="495" t="n">
        <v>0.1242312423124231</v>
      </c>
      <c r="H50" s="495" t="n">
        <v>0.2332057058879931</v>
      </c>
      <c r="I50" s="674" t="n">
        <v>0.6305875845230943</v>
      </c>
      <c r="J50" s="674" t="n">
        <v>1.371918542336549</v>
      </c>
      <c r="K50" s="674" t="n">
        <v>3.396545331617631</v>
      </c>
      <c r="L50" s="495" t="n">
        <v>0.07307592323312087</v>
      </c>
      <c r="M50" s="495" t="n">
        <v>0.07954842334350426</v>
      </c>
      <c r="N50" s="495" t="n">
        <v>0.1195010878500598</v>
      </c>
      <c r="O50" s="674" t="n">
        <v>0.2577863267253251</v>
      </c>
      <c r="P50" s="674" t="n">
        <v>0.7110100817091966</v>
      </c>
      <c r="Q50" s="674" t="n">
        <v>1.161061431877952</v>
      </c>
      <c r="R50" s="495" t="n">
        <v>0.01656867985034741</v>
      </c>
      <c r="S50" s="495" t="n">
        <v>0.1329333425047207</v>
      </c>
      <c r="T50" s="495" t="n">
        <v>0.3574432296047099</v>
      </c>
      <c r="U50" s="234" t="n"/>
      <c r="V50" s="234" t="n"/>
    </row>
    <row r="51">
      <c r="A51" s="377" t="inlineStr">
        <is>
          <t>Insurance (Prop/Cas.)</t>
        </is>
      </c>
      <c r="B51" s="673" t="n">
        <v>248</v>
      </c>
      <c r="C51" s="495" t="n">
        <v>0.0343</v>
      </c>
      <c r="D51" s="495" t="n">
        <v>0.06</v>
      </c>
      <c r="E51" s="495" t="n">
        <v>0.09849999999999999</v>
      </c>
      <c r="F51" s="495" t="n">
        <v>0.07338129496402877</v>
      </c>
      <c r="G51" s="495" t="n">
        <v>0.1383016416676509</v>
      </c>
      <c r="H51" s="495" t="n">
        <v>0.2058212058212058</v>
      </c>
      <c r="I51" s="674" t="n">
        <v>0.8389423076923079</v>
      </c>
      <c r="J51" s="674" t="n">
        <v>1.479156690195961</v>
      </c>
      <c r="K51" s="674" t="n">
        <v>2.822909624932981</v>
      </c>
      <c r="L51" s="495" t="n">
        <v>0.05776064422235887</v>
      </c>
      <c r="M51" s="495" t="n">
        <v>0.06497286461169287</v>
      </c>
      <c r="N51" s="495" t="n">
        <v>0.08630372508159778</v>
      </c>
      <c r="O51" s="674" t="n">
        <v>0.1094819692568071</v>
      </c>
      <c r="P51" s="674" t="n">
        <v>0.4096591469343218</v>
      </c>
      <c r="Q51" s="674" t="n">
        <v>0.7938420022607394</v>
      </c>
      <c r="R51" s="495" t="n">
        <v>0.00400634296354453</v>
      </c>
      <c r="S51" s="495" t="n">
        <v>0.05370843989769821</v>
      </c>
      <c r="T51" s="495" t="n">
        <v>0.1644247446521488</v>
      </c>
      <c r="U51" s="234" t="n"/>
      <c r="V51" s="234" t="n"/>
    </row>
    <row r="52">
      <c r="A52" s="377" t="inlineStr">
        <is>
          <t>Investments &amp; Asset Management</t>
        </is>
      </c>
      <c r="B52" s="673" t="n">
        <v>1315</v>
      </c>
      <c r="C52" s="495" t="n">
        <v>0.009530000000000002</v>
      </c>
      <c r="D52" s="495" t="n">
        <v>0.07580000000000001</v>
      </c>
      <c r="E52" s="495" t="n">
        <v>0.162</v>
      </c>
      <c r="F52" s="495" t="n">
        <v>0</v>
      </c>
      <c r="G52" s="495" t="n">
        <v>0.1788321167883212</v>
      </c>
      <c r="H52" s="495" t="n">
        <v>0.6254071661237784</v>
      </c>
      <c r="I52" s="674" t="n">
        <v>0.0003142183817753339</v>
      </c>
      <c r="J52" s="674" t="n">
        <v>0.09937419076391886</v>
      </c>
      <c r="K52" s="674" t="n">
        <v>0.588235294117647</v>
      </c>
      <c r="L52" s="495" t="n">
        <v>0.06315045017578096</v>
      </c>
      <c r="M52" s="495" t="n">
        <v>0.06555516258344098</v>
      </c>
      <c r="N52" s="495" t="n">
        <v>0.07242037480337576</v>
      </c>
      <c r="O52" s="674" t="n">
        <v>0.124536123837677</v>
      </c>
      <c r="P52" s="674" t="n">
        <v>0.6176679700558836</v>
      </c>
      <c r="Q52" s="674" t="n">
        <v>1.182633708554599</v>
      </c>
      <c r="R52" s="495" t="n">
        <v>0</v>
      </c>
      <c r="S52" s="495" t="n">
        <v>0.01331081752259859</v>
      </c>
      <c r="T52" s="495" t="n">
        <v>0.1466535433070866</v>
      </c>
      <c r="U52" s="234" t="n"/>
      <c r="V52" s="234" t="n"/>
    </row>
    <row r="53">
      <c r="A53" s="377" t="inlineStr">
        <is>
          <t>Machinery</t>
        </is>
      </c>
      <c r="B53" s="673" t="n">
        <v>1553</v>
      </c>
      <c r="C53" s="495" t="n">
        <v>0.0311</v>
      </c>
      <c r="D53" s="495" t="n">
        <v>0.07969999999999999</v>
      </c>
      <c r="E53" s="495" t="n">
        <v>0.161</v>
      </c>
      <c r="F53" s="495" t="n">
        <v>-0.0001453488372093023</v>
      </c>
      <c r="G53" s="495" t="n">
        <v>0.06459407216494846</v>
      </c>
      <c r="H53" s="495" t="n">
        <v>0.1254932912391476</v>
      </c>
      <c r="I53" s="674" t="n">
        <v>0.7182258873349305</v>
      </c>
      <c r="J53" s="674" t="n">
        <v>1.177259768572866</v>
      </c>
      <c r="K53" s="674" t="n">
        <v>1.782419495213229</v>
      </c>
      <c r="L53" s="495" t="n">
        <v>0.1004622760519272</v>
      </c>
      <c r="M53" s="495" t="n">
        <v>0.10599628193461</v>
      </c>
      <c r="N53" s="495" t="n">
        <v>0.1079026818377262</v>
      </c>
      <c r="O53" s="674" t="n">
        <v>0.7006155476676568</v>
      </c>
      <c r="P53" s="674" t="n">
        <v>1.285268003660245</v>
      </c>
      <c r="Q53" s="674" t="n">
        <v>2.006906801147958</v>
      </c>
      <c r="R53" s="495" t="n">
        <v>0.01742160278745645</v>
      </c>
      <c r="S53" s="495" t="n">
        <v>0.09410402934835871</v>
      </c>
      <c r="T53" s="495" t="n">
        <v>0.2461500655307995</v>
      </c>
      <c r="U53" s="234" t="n"/>
      <c r="V53" s="234" t="n"/>
    </row>
    <row r="54">
      <c r="A54" s="377" t="inlineStr">
        <is>
          <t>Metals &amp; Mining</t>
        </is>
      </c>
      <c r="B54" s="673" t="n">
        <v>1874</v>
      </c>
      <c r="C54" s="495" t="n">
        <v>0.0608</v>
      </c>
      <c r="D54" s="495" t="n">
        <v>0.124</v>
      </c>
      <c r="E54" s="495" t="n">
        <v>0.236</v>
      </c>
      <c r="F54" s="495" t="inlineStr">
        <is>
          <t>NA</t>
        </is>
      </c>
      <c r="G54" s="495" t="n">
        <v>0.00217391304347826</v>
      </c>
      <c r="H54" s="495" t="n">
        <v>0.08834841628959277</v>
      </c>
      <c r="I54" s="674" t="n">
        <v>0</v>
      </c>
      <c r="J54" s="674" t="n">
        <v>0</v>
      </c>
      <c r="K54" s="674" t="n">
        <v>0.5586761257650558</v>
      </c>
      <c r="L54" s="495" t="n">
        <v>0.0868195605379707</v>
      </c>
      <c r="M54" s="495" t="n">
        <v>0.08683691834495816</v>
      </c>
      <c r="N54" s="495" t="n">
        <v>0.09213601587036405</v>
      </c>
      <c r="O54" s="674" t="n">
        <v>0.4817158952831602</v>
      </c>
      <c r="P54" s="674" t="n">
        <v>1.153442019523085</v>
      </c>
      <c r="Q54" s="674" t="n">
        <v>1.829079155617997</v>
      </c>
      <c r="R54" s="495" t="n">
        <v>0</v>
      </c>
      <c r="S54" s="495" t="n">
        <v>0.005295194734497946</v>
      </c>
      <c r="T54" s="495" t="n">
        <v>0.1263151405556469</v>
      </c>
      <c r="U54" s="234" t="n"/>
      <c r="V54" s="234" t="n"/>
    </row>
    <row r="55">
      <c r="A55" s="377" t="inlineStr">
        <is>
          <t>Office Equipment &amp; Services</t>
        </is>
      </c>
      <c r="B55" s="673" t="n">
        <v>139</v>
      </c>
      <c r="C55" s="495" t="n">
        <v>0.0282</v>
      </c>
      <c r="D55" s="495" t="n">
        <v>0.0461</v>
      </c>
      <c r="E55" s="495" t="n">
        <v>0.09359999999999999</v>
      </c>
      <c r="F55" s="495" t="n">
        <v>0.0004258594150846588</v>
      </c>
      <c r="G55" s="495" t="n">
        <v>0.05096943527220388</v>
      </c>
      <c r="H55" s="495" t="n">
        <v>0.09234116813849513</v>
      </c>
      <c r="I55" s="674" t="n">
        <v>0.8183306055646482</v>
      </c>
      <c r="J55" s="674" t="n">
        <v>1.502735588157527</v>
      </c>
      <c r="K55" s="674" t="n">
        <v>2.379248658318426</v>
      </c>
      <c r="L55" s="495" t="n">
        <v>0.07261867704388465</v>
      </c>
      <c r="M55" s="495" t="n">
        <v>0.07582056364151478</v>
      </c>
      <c r="N55" s="495" t="n">
        <v>0.08804851381470784</v>
      </c>
      <c r="O55" s="674" t="n">
        <v>0.3227738918642667</v>
      </c>
      <c r="P55" s="674" t="n">
        <v>0.6793329807371028</v>
      </c>
      <c r="Q55" s="674" t="n">
        <v>1.081532113841521</v>
      </c>
      <c r="R55" s="495" t="n">
        <v>0.0129007036747459</v>
      </c>
      <c r="S55" s="495" t="n">
        <v>0.127109337559379</v>
      </c>
      <c r="T55" s="495" t="n">
        <v>0.313881874079759</v>
      </c>
      <c r="U55" s="234" t="n"/>
      <c r="V55" s="234" t="n"/>
    </row>
    <row r="56">
      <c r="A56" s="377" t="inlineStr">
        <is>
          <t>Oil/Gas (Integrated)</t>
        </is>
      </c>
      <c r="B56" s="673" t="n">
        <v>34</v>
      </c>
      <c r="C56" s="495" t="n">
        <v>-0.04679999999999999</v>
      </c>
      <c r="D56" s="495" t="n">
        <v>-0.0312</v>
      </c>
      <c r="E56" s="495" t="n">
        <v>-0.0181</v>
      </c>
      <c r="F56" s="495" t="n">
        <v>0.05095874871839619</v>
      </c>
      <c r="G56" s="495" t="n">
        <v>0.1040771503977034</v>
      </c>
      <c r="H56" s="495" t="n">
        <v>0.1550748752079867</v>
      </c>
      <c r="I56" s="674" t="n">
        <v>0.779872514991633</v>
      </c>
      <c r="J56" s="674" t="n">
        <v>1.30979443419509</v>
      </c>
      <c r="K56" s="674" t="n">
        <v>1.782639524213405</v>
      </c>
      <c r="L56" s="495" t="n">
        <v>0.06679087473469009</v>
      </c>
      <c r="M56" s="495" t="n">
        <v>0.07085130301086529</v>
      </c>
      <c r="N56" s="495" t="n">
        <v>0.08092858692417801</v>
      </c>
      <c r="O56" s="674" t="n">
        <v>0.2470781069929799</v>
      </c>
      <c r="P56" s="674" t="n">
        <v>0.6153749862243219</v>
      </c>
      <c r="Q56" s="674" t="n">
        <v>0.9000396916758235</v>
      </c>
      <c r="R56" s="495" t="n">
        <v>0.1203136749382318</v>
      </c>
      <c r="S56" s="495" t="n">
        <v>0.3104214620207953</v>
      </c>
      <c r="T56" s="495" t="n">
        <v>0.4144784026079869</v>
      </c>
      <c r="U56" s="234" t="n"/>
      <c r="V56" s="234" t="n"/>
    </row>
    <row r="57">
      <c r="A57" s="377" t="inlineStr">
        <is>
          <t>Oil/Gas (Production and Exploration)</t>
        </is>
      </c>
      <c r="B57" s="673" t="n">
        <v>539</v>
      </c>
      <c r="C57" s="495" t="n">
        <v>-0.0437</v>
      </c>
      <c r="D57" s="495" t="n">
        <v>0.048</v>
      </c>
      <c r="E57" s="495" t="n">
        <v>0.233</v>
      </c>
      <c r="F57" s="495" t="n">
        <v>-0.3276315789473684</v>
      </c>
      <c r="G57" s="495" t="n">
        <v>0.1213114754098361</v>
      </c>
      <c r="H57" s="495" t="n">
        <v>0.3081232492997198</v>
      </c>
      <c r="I57" s="674" t="n">
        <v>0.08015545299975711</v>
      </c>
      <c r="J57" s="674" t="n">
        <v>0.3980607792207316</v>
      </c>
      <c r="K57" s="674" t="n">
        <v>0.695273631840796</v>
      </c>
      <c r="L57" s="495" t="n">
        <v>0.06963735726450899</v>
      </c>
      <c r="M57" s="495" t="n">
        <v>0.07122549971905609</v>
      </c>
      <c r="N57" s="495" t="n">
        <v>0.07552112972740735</v>
      </c>
      <c r="O57" s="674" t="n">
        <v>0.2672335022534898</v>
      </c>
      <c r="P57" s="674" t="n">
        <v>0.6883683048623747</v>
      </c>
      <c r="Q57" s="674" t="n">
        <v>1.24924491068257</v>
      </c>
      <c r="R57" s="495" t="n">
        <v>0</v>
      </c>
      <c r="S57" s="495" t="n">
        <v>0.09529276693455799</v>
      </c>
      <c r="T57" s="495" t="n">
        <v>0.3547717842323652</v>
      </c>
      <c r="U57" s="234" t="n"/>
      <c r="V57" s="234" t="n"/>
    </row>
    <row r="58">
      <c r="A58" s="377" t="inlineStr">
        <is>
          <t>Oil/Gas Distribution</t>
        </is>
      </c>
      <c r="B58" s="673" t="n">
        <v>186</v>
      </c>
      <c r="C58" s="495" t="n">
        <v>0.00865</v>
      </c>
      <c r="D58" s="495" t="n">
        <v>0.0573</v>
      </c>
      <c r="E58" s="495" t="n">
        <v>0.111</v>
      </c>
      <c r="F58" s="495" t="n">
        <v>0.01379567486950037</v>
      </c>
      <c r="G58" s="495" t="n">
        <v>0.1094397209505123</v>
      </c>
      <c r="H58" s="495" t="n">
        <v>0.248780487804878</v>
      </c>
      <c r="I58" s="674" t="n">
        <v>0.3331841909023117</v>
      </c>
      <c r="J58" s="674" t="n">
        <v>0.7985730177586213</v>
      </c>
      <c r="K58" s="674" t="n">
        <v>2.939226519337017</v>
      </c>
      <c r="L58" s="495" t="n">
        <v>0.05891046082057269</v>
      </c>
      <c r="M58" s="495" t="n">
        <v>0.06525462352147125</v>
      </c>
      <c r="N58" s="495" t="n">
        <v>0.07159978006672238</v>
      </c>
      <c r="O58" s="674" t="n">
        <v>0.2887368629997481</v>
      </c>
      <c r="P58" s="674" t="n">
        <v>0.6224840370150291</v>
      </c>
      <c r="Q58" s="674" t="n">
        <v>1.053864570653855</v>
      </c>
      <c r="R58" s="495" t="n">
        <v>0.07276100175203545</v>
      </c>
      <c r="S58" s="495" t="n">
        <v>0.2619400771284485</v>
      </c>
      <c r="T58" s="495" t="n">
        <v>0.4960000000000001</v>
      </c>
      <c r="U58" s="234" t="n"/>
      <c r="V58" s="234" t="n"/>
    </row>
    <row r="59">
      <c r="A59" s="377" t="inlineStr">
        <is>
          <t>Oilfield Svcs/Equip.</t>
        </is>
      </c>
      <c r="B59" s="673" t="n">
        <v>431</v>
      </c>
      <c r="C59" s="495" t="n">
        <v>-0.0372</v>
      </c>
      <c r="D59" s="495" t="n">
        <v>0.0184</v>
      </c>
      <c r="E59" s="495" t="n">
        <v>0.109</v>
      </c>
      <c r="F59" s="495" t="n">
        <v>0.002486988847583643</v>
      </c>
      <c r="G59" s="495" t="n">
        <v>0.03348783314020858</v>
      </c>
      <c r="H59" s="495" t="n">
        <v>0.1051105472997463</v>
      </c>
      <c r="I59" s="674" t="n">
        <v>0.7866120705002669</v>
      </c>
      <c r="J59" s="674" t="n">
        <v>1.577861712799755</v>
      </c>
      <c r="K59" s="674" t="n">
        <v>3.121306916927355</v>
      </c>
      <c r="L59" s="495" t="n">
        <v>0.07185199557355507</v>
      </c>
      <c r="M59" s="495" t="n">
        <v>0.07713468231866916</v>
      </c>
      <c r="N59" s="495" t="n">
        <v>0.08810545276411677</v>
      </c>
      <c r="O59" s="674" t="n">
        <v>0.3913905021063578</v>
      </c>
      <c r="P59" s="674" t="n">
        <v>0.878343389537258</v>
      </c>
      <c r="Q59" s="674" t="n">
        <v>1.331063378240002</v>
      </c>
      <c r="R59" s="495" t="n">
        <v>0.03920578832239609</v>
      </c>
      <c r="S59" s="495" t="n">
        <v>0.1901756960006052</v>
      </c>
      <c r="T59" s="495" t="n">
        <v>0.4500754076921922</v>
      </c>
      <c r="U59" s="234" t="n"/>
      <c r="V59" s="234" t="n"/>
    </row>
    <row r="60">
      <c r="A60" s="377" t="inlineStr">
        <is>
          <t>Packaging &amp; Container</t>
        </is>
      </c>
      <c r="B60" s="673" t="n">
        <v>438</v>
      </c>
      <c r="C60" s="495" t="n">
        <v>0.00209</v>
      </c>
      <c r="D60" s="495" t="n">
        <v>0.0571</v>
      </c>
      <c r="E60" s="495" t="n">
        <v>0.104</v>
      </c>
      <c r="F60" s="495" t="n">
        <v>0.01357818586533111</v>
      </c>
      <c r="G60" s="495" t="n">
        <v>0.05126050420168067</v>
      </c>
      <c r="H60" s="495" t="n">
        <v>0.09370078740157479</v>
      </c>
      <c r="I60" s="674" t="n">
        <v>0.814922884535223</v>
      </c>
      <c r="J60" s="674" t="n">
        <v>1.208867336335296</v>
      </c>
      <c r="K60" s="674" t="n">
        <v>1.770609318996416</v>
      </c>
      <c r="L60" s="495" t="n">
        <v>0.06759193462339944</v>
      </c>
      <c r="M60" s="495" t="n">
        <v>0.07539461959285737</v>
      </c>
      <c r="N60" s="495" t="n">
        <v>0.07975291536471862</v>
      </c>
      <c r="O60" s="674" t="n">
        <v>0.2275256947952204</v>
      </c>
      <c r="P60" s="674" t="n">
        <v>0.6719176983826191</v>
      </c>
      <c r="Q60" s="674" t="n">
        <v>1.235653192878902</v>
      </c>
      <c r="R60" s="495" t="n">
        <v>0.04926866820631255</v>
      </c>
      <c r="S60" s="495" t="n">
        <v>0.2213390459991304</v>
      </c>
      <c r="T60" s="495" t="n">
        <v>0.4481236203090508</v>
      </c>
      <c r="U60" s="234" t="n"/>
      <c r="V60" s="234" t="n"/>
    </row>
    <row r="61">
      <c r="A61" s="377" t="inlineStr">
        <is>
          <t>Paper/Forest Products</t>
        </is>
      </c>
      <c r="B61" s="673" t="n">
        <v>271</v>
      </c>
      <c r="C61" s="495" t="n">
        <v>-0.00868</v>
      </c>
      <c r="D61" s="495" t="n">
        <v>0.0246</v>
      </c>
      <c r="E61" s="495" t="n">
        <v>0.07090000000000002</v>
      </c>
      <c r="F61" s="495" t="n">
        <v>-0.01710996427153632</v>
      </c>
      <c r="G61" s="495" t="n">
        <v>0.02708333333333333</v>
      </c>
      <c r="H61" s="495" t="n">
        <v>0.06219451050152758</v>
      </c>
      <c r="I61" s="674" t="n">
        <v>0.5712000328158008</v>
      </c>
      <c r="J61" s="674" t="n">
        <v>0.8953929539295392</v>
      </c>
      <c r="K61" s="674" t="n">
        <v>1.392698881620595</v>
      </c>
      <c r="L61" s="495" t="n">
        <v>0.06723564940431551</v>
      </c>
      <c r="M61" s="495" t="n">
        <v>0.07112964790650297</v>
      </c>
      <c r="N61" s="495" t="n">
        <v>0.08121347417344779</v>
      </c>
      <c r="O61" s="674" t="n">
        <v>0.3301311236588534</v>
      </c>
      <c r="P61" s="674" t="n">
        <v>0.8724435179030865</v>
      </c>
      <c r="Q61" s="674" t="n">
        <v>1.456197752416378</v>
      </c>
      <c r="R61" s="495" t="n">
        <v>0.073240589198036</v>
      </c>
      <c r="S61" s="495" t="n">
        <v>0.2974013474494706</v>
      </c>
      <c r="T61" s="495" t="n">
        <v>0.5399590163934426</v>
      </c>
      <c r="U61" s="234" t="n"/>
      <c r="V61" s="234" t="n"/>
    </row>
    <row r="62">
      <c r="A62" s="377" t="inlineStr">
        <is>
          <t>Power</t>
        </is>
      </c>
      <c r="B62" s="673" t="n">
        <v>486</v>
      </c>
      <c r="C62" s="495" t="n">
        <v>-0.00362</v>
      </c>
      <c r="D62" s="495" t="n">
        <v>0.0358</v>
      </c>
      <c r="E62" s="495" t="n">
        <v>0.07919999999999999</v>
      </c>
      <c r="F62" s="495" t="n">
        <v>0.05489383738995339</v>
      </c>
      <c r="G62" s="495" t="n">
        <v>0.117156862745098</v>
      </c>
      <c r="H62" s="495" t="n">
        <v>0.2073287643291315</v>
      </c>
      <c r="I62" s="674" t="n">
        <v>0.3719821333205676</v>
      </c>
      <c r="J62" s="674" t="n">
        <v>0.6515895463228228</v>
      </c>
      <c r="K62" s="674" t="n">
        <v>1.322944924610434</v>
      </c>
      <c r="L62" s="495" t="n">
        <v>0.05986705909418917</v>
      </c>
      <c r="M62" s="495" t="n">
        <v>0.06292710810215986</v>
      </c>
      <c r="N62" s="495" t="n">
        <v>0.07174735339485749</v>
      </c>
      <c r="O62" s="674" t="n">
        <v>0.2686022157607467</v>
      </c>
      <c r="P62" s="674" t="n">
        <v>0.6591782567209045</v>
      </c>
      <c r="Q62" s="674" t="n">
        <v>1.119191375119317</v>
      </c>
      <c r="R62" s="495" t="n">
        <v>0.08900928792569661</v>
      </c>
      <c r="S62" s="495" t="n">
        <v>0.3630143401438005</v>
      </c>
      <c r="T62" s="495" t="n">
        <v>0.55</v>
      </c>
      <c r="U62" s="234" t="n"/>
      <c r="V62" s="234" t="n"/>
    </row>
    <row r="63">
      <c r="A63" s="377" t="inlineStr">
        <is>
          <t>Precious Metals</t>
        </is>
      </c>
      <c r="B63" s="673" t="n">
        <v>777</v>
      </c>
      <c r="C63" s="495" t="n">
        <v>0.257</v>
      </c>
      <c r="D63" s="495" t="n">
        <v>0.375</v>
      </c>
      <c r="E63" s="495" t="n">
        <v>0.638</v>
      </c>
      <c r="F63" s="495" t="inlineStr">
        <is>
          <t>NA</t>
        </is>
      </c>
      <c r="G63" s="495" t="n">
        <v>0.06210645393326909</v>
      </c>
      <c r="H63" s="495" t="n">
        <v>0.3263940520446096</v>
      </c>
      <c r="I63" s="674" t="n">
        <v>0</v>
      </c>
      <c r="J63" s="674" t="n">
        <v>0</v>
      </c>
      <c r="K63" s="674" t="n">
        <v>0.4107142857142857</v>
      </c>
      <c r="L63" s="495" t="n">
        <v>0.09750823315264107</v>
      </c>
      <c r="M63" s="495" t="n">
        <v>0.09759899552436688</v>
      </c>
      <c r="N63" s="495" t="n">
        <v>0.09778860931268872</v>
      </c>
      <c r="O63" s="674" t="n">
        <v>0.7305604949206266</v>
      </c>
      <c r="P63" s="674" t="n">
        <v>1.326403939864719</v>
      </c>
      <c r="Q63" s="674" t="n">
        <v>1.993943869630157</v>
      </c>
      <c r="R63" s="495" t="n">
        <v>0</v>
      </c>
      <c r="S63" s="495" t="n">
        <v>0.001390254653962226</v>
      </c>
      <c r="T63" s="495" t="n">
        <v>0.05320600272851296</v>
      </c>
      <c r="U63" s="234" t="n"/>
      <c r="V63" s="234" t="n"/>
    </row>
    <row r="64">
      <c r="A64" s="377" t="inlineStr">
        <is>
          <t>Publishing &amp; Newspapers</t>
        </is>
      </c>
      <c r="B64" s="673" t="n">
        <v>307</v>
      </c>
      <c r="C64" s="495" t="n">
        <v>-0.00617</v>
      </c>
      <c r="D64" s="495" t="n">
        <v>0.0338</v>
      </c>
      <c r="E64" s="495" t="n">
        <v>0.0592</v>
      </c>
      <c r="F64" s="495" t="n">
        <v>-0.05090390104662226</v>
      </c>
      <c r="G64" s="495" t="n">
        <v>0.04043859649122807</v>
      </c>
      <c r="H64" s="495" t="n">
        <v>0.1030921608889963</v>
      </c>
      <c r="I64" s="674" t="n">
        <v>0.6729625223081499</v>
      </c>
      <c r="J64" s="674" t="n">
        <v>1.302452316076294</v>
      </c>
      <c r="K64" s="674" t="n">
        <v>2.307194826192401</v>
      </c>
      <c r="L64" s="495" t="n">
        <v>0.07607284581081189</v>
      </c>
      <c r="M64" s="495" t="n">
        <v>0.07913595785504782</v>
      </c>
      <c r="N64" s="495" t="n">
        <v>0.08868178350197324</v>
      </c>
      <c r="O64" s="674" t="n">
        <v>0.2795438463223957</v>
      </c>
      <c r="P64" s="674" t="n">
        <v>0.6687076280843635</v>
      </c>
      <c r="Q64" s="674" t="n">
        <v>1.216901078037385</v>
      </c>
      <c r="R64" s="495" t="n">
        <v>0.009794655898273049</v>
      </c>
      <c r="S64" s="495" t="n">
        <v>0.1064630367419212</v>
      </c>
      <c r="T64" s="495" t="n">
        <v>0.3497109826589595</v>
      </c>
      <c r="U64" s="234" t="n"/>
      <c r="V64" s="234" t="n"/>
    </row>
    <row r="65">
      <c r="A65" s="377" t="inlineStr">
        <is>
          <t>R.E.I.T.</t>
        </is>
      </c>
      <c r="B65" s="673" t="n">
        <v>643</v>
      </c>
      <c r="C65" s="495" t="n">
        <v>-0.012</v>
      </c>
      <c r="D65" s="495" t="n">
        <v>0.0302</v>
      </c>
      <c r="E65" s="495" t="n">
        <v>0.0873</v>
      </c>
      <c r="F65" s="495" t="n">
        <v>0.1858455191654643</v>
      </c>
      <c r="G65" s="495" t="n">
        <v>0.5</v>
      </c>
      <c r="H65" s="495" t="n">
        <v>0.6478002965892239</v>
      </c>
      <c r="I65" s="674" t="n">
        <v>0.06329319882850634</v>
      </c>
      <c r="J65" s="674" t="n">
        <v>0.08994930225265248</v>
      </c>
      <c r="K65" s="674" t="n">
        <v>0.1350103854142626</v>
      </c>
      <c r="L65" s="495" t="n">
        <v>0.05328828196938005</v>
      </c>
      <c r="M65" s="495" t="n">
        <v>0.05538024141788789</v>
      </c>
      <c r="N65" s="495" t="n">
        <v>0.0626095592070091</v>
      </c>
      <c r="O65" s="674" t="n">
        <v>0.2292437883030543</v>
      </c>
      <c r="P65" s="674" t="n">
        <v>0.528926809161878</v>
      </c>
      <c r="Q65" s="674" t="n">
        <v>0.8104902504455701</v>
      </c>
      <c r="R65" s="495" t="n">
        <v>0.1774185858007915</v>
      </c>
      <c r="S65" s="495" t="n">
        <v>0.3956449205373606</v>
      </c>
      <c r="T65" s="495" t="n">
        <v>0.547302513080024</v>
      </c>
      <c r="U65" s="234" t="n"/>
      <c r="V65" s="234" t="n"/>
    </row>
    <row r="66">
      <c r="A66" s="377" t="inlineStr">
        <is>
          <t>Real Estate (Development)</t>
        </is>
      </c>
      <c r="B66" s="673" t="n">
        <v>895</v>
      </c>
      <c r="C66" s="495" t="n">
        <v>-0.0411</v>
      </c>
      <c r="D66" s="495" t="n">
        <v>0.0573</v>
      </c>
      <c r="E66" s="495" t="n">
        <v>0.198</v>
      </c>
      <c r="F66" s="495" t="n">
        <v>-0.09605740964897112</v>
      </c>
      <c r="G66" s="495" t="n">
        <v>0.08385004292664315</v>
      </c>
      <c r="H66" s="495" t="n">
        <v>0.2232142857142857</v>
      </c>
      <c r="I66" s="674" t="n">
        <v>0.1123564659045663</v>
      </c>
      <c r="J66" s="674" t="n">
        <v>0.254178674351585</v>
      </c>
      <c r="K66" s="674" t="n">
        <v>0.5849130605307883</v>
      </c>
      <c r="L66" s="495" t="n">
        <v>0.06164394284267952</v>
      </c>
      <c r="M66" s="495" t="n">
        <v>0.06771986635181843</v>
      </c>
      <c r="N66" s="495" t="n">
        <v>0.07097706876440221</v>
      </c>
      <c r="O66" s="674" t="n">
        <v>0.2781266099802303</v>
      </c>
      <c r="P66" s="674" t="n">
        <v>0.7801390745942769</v>
      </c>
      <c r="Q66" s="674" t="n">
        <v>1.436642532725697</v>
      </c>
      <c r="R66" s="495" t="n">
        <v>0.0889276373147341</v>
      </c>
      <c r="S66" s="495" t="n">
        <v>0.341088491898629</v>
      </c>
      <c r="T66" s="495" t="n">
        <v>0.6681103437512192</v>
      </c>
      <c r="U66" s="234" t="n"/>
      <c r="V66" s="234" t="n"/>
    </row>
    <row r="67">
      <c r="A67" s="377" t="inlineStr">
        <is>
          <t>Real Estate (General/Diversified)</t>
        </is>
      </c>
      <c r="B67" s="673" t="n">
        <v>312</v>
      </c>
      <c r="C67" s="495" t="n">
        <v>0.0316</v>
      </c>
      <c r="D67" s="495" t="n">
        <v>0.08349999999999999</v>
      </c>
      <c r="E67" s="495" t="n">
        <v>0.166</v>
      </c>
      <c r="F67" s="495" t="n">
        <v>0.03874431573942987</v>
      </c>
      <c r="G67" s="495" t="n">
        <v>0.1674373795761079</v>
      </c>
      <c r="H67" s="495" t="n">
        <v>0.3387336606818176</v>
      </c>
      <c r="I67" s="674" t="n">
        <v>0.07880003592706805</v>
      </c>
      <c r="J67" s="674" t="n">
        <v>0.1932834906238509</v>
      </c>
      <c r="K67" s="674" t="n">
        <v>0.4524207011686144</v>
      </c>
      <c r="L67" s="495" t="n">
        <v>0.06692893224827294</v>
      </c>
      <c r="M67" s="495" t="n">
        <v>0.07011823218411141</v>
      </c>
      <c r="N67" s="495" t="n">
        <v>0.07990108121347406</v>
      </c>
      <c r="O67" s="674" t="n">
        <v>0.2926621808208701</v>
      </c>
      <c r="P67" s="674" t="n">
        <v>0.7629390455962695</v>
      </c>
      <c r="Q67" s="674" t="n">
        <v>1.453747402503799</v>
      </c>
      <c r="R67" s="495" t="n">
        <v>0.04111876434982258</v>
      </c>
      <c r="S67" s="495" t="n">
        <v>0.3234811165845649</v>
      </c>
      <c r="T67" s="495" t="n">
        <v>0.5664928371632814</v>
      </c>
      <c r="U67" s="234" t="n"/>
      <c r="V67" s="234" t="n"/>
    </row>
    <row r="68">
      <c r="A68" s="377" t="inlineStr">
        <is>
          <t>Real Estate (Operations &amp; Services)</t>
        </is>
      </c>
      <c r="B68" s="673" t="n">
        <v>752</v>
      </c>
      <c r="C68" s="495" t="n">
        <v>0.0235</v>
      </c>
      <c r="D68" s="495" t="n">
        <v>0.0689</v>
      </c>
      <c r="E68" s="495" t="n">
        <v>0.143</v>
      </c>
      <c r="F68" s="495" t="n">
        <v>0.04726850058117008</v>
      </c>
      <c r="G68" s="495" t="n">
        <v>0.2727847703396403</v>
      </c>
      <c r="H68" s="495" t="n">
        <v>0.5770308123249299</v>
      </c>
      <c r="I68" s="674" t="n">
        <v>0.06953391436150058</v>
      </c>
      <c r="J68" s="674" t="n">
        <v>0.1283051582141309</v>
      </c>
      <c r="K68" s="674" t="n">
        <v>0.5371945222687791</v>
      </c>
      <c r="L68" s="495" t="n">
        <v>0.06078802061903733</v>
      </c>
      <c r="M68" s="495" t="n">
        <v>0.06522148531066253</v>
      </c>
      <c r="N68" s="495" t="n">
        <v>0.07362035296237812</v>
      </c>
      <c r="O68" s="674" t="n">
        <v>0.1958317381860099</v>
      </c>
      <c r="P68" s="674" t="n">
        <v>0.6685173096445514</v>
      </c>
      <c r="Q68" s="674" t="n">
        <v>1.268234503297073</v>
      </c>
      <c r="R68" s="495" t="n">
        <v>0.02142759188151399</v>
      </c>
      <c r="S68" s="495" t="n">
        <v>0.2631578947368421</v>
      </c>
      <c r="T68" s="495" t="n">
        <v>0.5408921933085502</v>
      </c>
      <c r="U68" s="234" t="n"/>
      <c r="V68" s="234" t="n"/>
    </row>
    <row r="69">
      <c r="A69" s="377" t="inlineStr">
        <is>
          <t>Recreation</t>
        </is>
      </c>
      <c r="B69" s="673" t="n">
        <v>332</v>
      </c>
      <c r="C69" s="495" t="n">
        <v>0.0219</v>
      </c>
      <c r="D69" s="495" t="n">
        <v>0.0622</v>
      </c>
      <c r="E69" s="495" t="n">
        <v>0.104</v>
      </c>
      <c r="F69" s="495" t="n">
        <v>-0.001456373662017515</v>
      </c>
      <c r="G69" s="495" t="n">
        <v>0.06594464500601685</v>
      </c>
      <c r="H69" s="495" t="n">
        <v>0.1439842209072978</v>
      </c>
      <c r="I69" s="674" t="n">
        <v>0.6102704934216431</v>
      </c>
      <c r="J69" s="674" t="n">
        <v>1.132789169818833</v>
      </c>
      <c r="K69" s="674" t="n">
        <v>1.928635068842207</v>
      </c>
      <c r="L69" s="495" t="n">
        <v>0.07852189641184398</v>
      </c>
      <c r="M69" s="495" t="n">
        <v>0.08294084623316431</v>
      </c>
      <c r="N69" s="495" t="n">
        <v>0.08515347379975481</v>
      </c>
      <c r="O69" s="674" t="n">
        <v>0.4723465778083545</v>
      </c>
      <c r="P69" s="674" t="n">
        <v>0.96445201496053</v>
      </c>
      <c r="Q69" s="674" t="n">
        <v>1.454508676263047</v>
      </c>
      <c r="R69" s="495" t="n">
        <v>0.02270742358078603</v>
      </c>
      <c r="S69" s="495" t="n">
        <v>0.1453258946795482</v>
      </c>
      <c r="T69" s="495" t="n">
        <v>0.3971184151283205</v>
      </c>
      <c r="U69" s="234" t="n"/>
      <c r="V69" s="234" t="n"/>
    </row>
    <row r="70">
      <c r="A70" s="377" t="inlineStr">
        <is>
          <t>Reinsurance</t>
        </is>
      </c>
      <c r="B70" s="673" t="n">
        <v>32</v>
      </c>
      <c r="C70" s="495" t="n">
        <v>0.00042</v>
      </c>
      <c r="D70" s="495" t="n">
        <v>0.0294</v>
      </c>
      <c r="E70" s="495" t="n">
        <v>0.08800000000000001</v>
      </c>
      <c r="F70" s="495" t="n">
        <v>0.07234028092207991</v>
      </c>
      <c r="G70" s="495" t="n">
        <v>0.1502622177264948</v>
      </c>
      <c r="H70" s="495" t="n">
        <v>0.1961325966850829</v>
      </c>
      <c r="I70" s="674" t="n">
        <v>0.8401863917586192</v>
      </c>
      <c r="J70" s="674" t="n">
        <v>1.055722301970508</v>
      </c>
      <c r="K70" s="674" t="n">
        <v>2.013612127842784</v>
      </c>
      <c r="L70" s="495" t="n">
        <v>0.08715155805649075</v>
      </c>
      <c r="M70" s="495" t="n">
        <v>0.09290123413916833</v>
      </c>
      <c r="N70" s="495" t="n">
        <v>0.1032295161195577</v>
      </c>
      <c r="O70" s="674" t="n">
        <v>0.4712284569744591</v>
      </c>
      <c r="P70" s="674" t="n">
        <v>0.9102455180107408</v>
      </c>
      <c r="Q70" s="674" t="n">
        <v>1.149913193243899</v>
      </c>
      <c r="R70" s="495" t="n">
        <v>0.001469867711905928</v>
      </c>
      <c r="S70" s="495" t="n">
        <v>0.1154964549826211</v>
      </c>
      <c r="T70" s="495" t="n">
        <v>0.2159868634869376</v>
      </c>
      <c r="U70" s="234" t="n"/>
      <c r="V70" s="234" t="n"/>
    </row>
    <row r="71">
      <c r="A71" s="377" t="inlineStr">
        <is>
          <t>Restaurant/Dining</t>
        </is>
      </c>
      <c r="B71" s="673" t="n">
        <v>410</v>
      </c>
      <c r="C71" s="495" t="n">
        <v>0.0356</v>
      </c>
      <c r="D71" s="495" t="n">
        <v>0.07490000000000001</v>
      </c>
      <c r="E71" s="495" t="n">
        <v>0.13</v>
      </c>
      <c r="F71" s="495" t="n">
        <v>-0.004481981981981982</v>
      </c>
      <c r="G71" s="495" t="n">
        <v>0.0441090335110327</v>
      </c>
      <c r="H71" s="495" t="n">
        <v>0.08761831182526411</v>
      </c>
      <c r="I71" s="674" t="n">
        <v>1.194260855015477</v>
      </c>
      <c r="J71" s="674" t="n">
        <v>2.055335968379447</v>
      </c>
      <c r="K71" s="674" t="n">
        <v>3.543268872825329</v>
      </c>
      <c r="L71" s="495" t="n">
        <v>0.06803601113493808</v>
      </c>
      <c r="M71" s="495" t="n">
        <v>0.07129058011071156</v>
      </c>
      <c r="N71" s="495" t="n">
        <v>0.07292669312675541</v>
      </c>
      <c r="O71" s="674" t="n">
        <v>0.2921494721226114</v>
      </c>
      <c r="P71" s="674" t="n">
        <v>0.6534691040050294</v>
      </c>
      <c r="Q71" s="674" t="n">
        <v>1.099517206403753</v>
      </c>
      <c r="R71" s="495" t="n">
        <v>0.0859879242140329</v>
      </c>
      <c r="S71" s="495" t="n">
        <v>0.2537269175010503</v>
      </c>
      <c r="T71" s="495" t="n">
        <v>0.4443213296398892</v>
      </c>
      <c r="U71" s="234" t="n"/>
      <c r="V71" s="234" t="n"/>
    </row>
    <row r="72">
      <c r="A72" s="377" t="inlineStr">
        <is>
          <t>Retail (Automotive)</t>
        </is>
      </c>
      <c r="B72" s="673" t="n">
        <v>212</v>
      </c>
      <c r="C72" s="495" t="n">
        <v>0.0133</v>
      </c>
      <c r="D72" s="495" t="n">
        <v>0.0506</v>
      </c>
      <c r="E72" s="495" t="n">
        <v>0.115</v>
      </c>
      <c r="F72" s="495" t="n">
        <v>0.00794780938503825</v>
      </c>
      <c r="G72" s="495" t="n">
        <v>0.03020877133625454</v>
      </c>
      <c r="H72" s="495" t="n">
        <v>0.05489747202048463</v>
      </c>
      <c r="I72" s="674" t="n">
        <v>1.263456090651558</v>
      </c>
      <c r="J72" s="674" t="n">
        <v>2.548958170139433</v>
      </c>
      <c r="K72" s="674" t="n">
        <v>4.237927670591887</v>
      </c>
      <c r="L72" s="495" t="n">
        <v>0.06665735365264891</v>
      </c>
      <c r="M72" s="495" t="n">
        <v>0.07035074964157012</v>
      </c>
      <c r="N72" s="495" t="n">
        <v>0.08169149154003073</v>
      </c>
      <c r="O72" s="674" t="n">
        <v>0.3591071061202272</v>
      </c>
      <c r="P72" s="674" t="n">
        <v>0.749080799093671</v>
      </c>
      <c r="Q72" s="674" t="n">
        <v>1.190584579853785</v>
      </c>
      <c r="R72" s="495" t="n">
        <v>0.1006044662289895</v>
      </c>
      <c r="S72" s="495" t="n">
        <v>0.3084867534800179</v>
      </c>
      <c r="T72" s="495" t="n">
        <v>0.5739827373612824</v>
      </c>
      <c r="U72" s="234" t="n"/>
      <c r="V72" s="234" t="n"/>
    </row>
    <row r="73">
      <c r="A73" s="377" t="inlineStr">
        <is>
          <t>Retail (Building Supply)</t>
        </is>
      </c>
      <c r="B73" s="673" t="n">
        <v>121</v>
      </c>
      <c r="C73" s="495" t="n">
        <v>0.0259</v>
      </c>
      <c r="D73" s="495" t="n">
        <v>0.0552</v>
      </c>
      <c r="E73" s="495" t="n">
        <v>0.0892</v>
      </c>
      <c r="F73" s="495" t="n">
        <v>0.0112806901128069</v>
      </c>
      <c r="G73" s="495" t="n">
        <v>0.04249512670565302</v>
      </c>
      <c r="H73" s="495" t="n">
        <v>0.1096681318521944</v>
      </c>
      <c r="I73" s="674" t="n">
        <v>1.172126144455748</v>
      </c>
      <c r="J73" s="674" t="n">
        <v>1.850214855739717</v>
      </c>
      <c r="K73" s="674" t="n">
        <v>3.428680629238164</v>
      </c>
      <c r="L73" s="495" t="n">
        <v>0.07301690012168685</v>
      </c>
      <c r="M73" s="495" t="n">
        <v>0.07807645144847886</v>
      </c>
      <c r="N73" s="495" t="n">
        <v>0.08919420790105674</v>
      </c>
      <c r="O73" s="674" t="n">
        <v>0.4531852205806431</v>
      </c>
      <c r="P73" s="674" t="n">
        <v>0.8668291239286331</v>
      </c>
      <c r="Q73" s="674" t="n">
        <v>1.425818171461391</v>
      </c>
      <c r="R73" s="495" t="n">
        <v>0.1041196464989803</v>
      </c>
      <c r="S73" s="495" t="n">
        <v>0.2618431073876619</v>
      </c>
      <c r="T73" s="495" t="n">
        <v>0.5017337956788477</v>
      </c>
      <c r="U73" s="234" t="n"/>
      <c r="V73" s="234" t="n"/>
    </row>
    <row r="74">
      <c r="A74" s="377" t="inlineStr">
        <is>
          <t>Retail (Distributors)</t>
        </is>
      </c>
      <c r="B74" s="673" t="n">
        <v>1079</v>
      </c>
      <c r="C74" s="495" t="n">
        <v>0.0225</v>
      </c>
      <c r="D74" s="495" t="n">
        <v>0.0507</v>
      </c>
      <c r="E74" s="495" t="n">
        <v>0.0968</v>
      </c>
      <c r="F74" s="495" t="n">
        <v>0.001134020618556701</v>
      </c>
      <c r="G74" s="495" t="n">
        <v>0.03215429634561344</v>
      </c>
      <c r="H74" s="495" t="n">
        <v>0.08180964081809641</v>
      </c>
      <c r="I74" s="674" t="n">
        <v>0.6994949494949497</v>
      </c>
      <c r="J74" s="674" t="n">
        <v>1.746887966804979</v>
      </c>
      <c r="K74" s="674" t="n">
        <v>3.364326377693062</v>
      </c>
      <c r="L74" s="495" t="n">
        <v>0.06868662041510851</v>
      </c>
      <c r="M74" s="495" t="n">
        <v>0.07255679457767689</v>
      </c>
      <c r="N74" s="495" t="n">
        <v>0.08387524104912493</v>
      </c>
      <c r="O74" s="674" t="n">
        <v>0.218842415978799</v>
      </c>
      <c r="P74" s="674" t="n">
        <v>0.7395536673043724</v>
      </c>
      <c r="Q74" s="674" t="n">
        <v>1.317193921938704</v>
      </c>
      <c r="R74" s="495" t="n">
        <v>0.02268041237113402</v>
      </c>
      <c r="S74" s="495" t="n">
        <v>0.1542553191489361</v>
      </c>
      <c r="T74" s="495" t="n">
        <v>0.4105449626044077</v>
      </c>
      <c r="U74" s="234" t="n"/>
      <c r="V74" s="234" t="n"/>
    </row>
    <row r="75">
      <c r="A75" s="377" t="inlineStr">
        <is>
          <t>Retail (General)</t>
        </is>
      </c>
      <c r="B75" s="673" t="n">
        <v>252</v>
      </c>
      <c r="C75" s="495" t="n">
        <v>0.0275</v>
      </c>
      <c r="D75" s="495" t="n">
        <v>0.0629</v>
      </c>
      <c r="E75" s="495" t="n">
        <v>0.104</v>
      </c>
      <c r="F75" s="495" t="n">
        <v>0.002519083969465649</v>
      </c>
      <c r="G75" s="495" t="n">
        <v>0.04180910160201767</v>
      </c>
      <c r="H75" s="495" t="n">
        <v>0.08640796562777059</v>
      </c>
      <c r="I75" s="674" t="n">
        <v>0.6762709460417806</v>
      </c>
      <c r="J75" s="674" t="n">
        <v>1.721348314606742</v>
      </c>
      <c r="K75" s="674" t="n">
        <v>3.183288409703505</v>
      </c>
      <c r="L75" s="495" t="n">
        <v>0.08021313612107127</v>
      </c>
      <c r="M75" s="495" t="n">
        <v>0.08450246235789545</v>
      </c>
      <c r="N75" s="495" t="n">
        <v>0.08767328989350159</v>
      </c>
      <c r="O75" s="674" t="n">
        <v>0.5227333847485759</v>
      </c>
      <c r="P75" s="674" t="n">
        <v>0.8825846974141314</v>
      </c>
      <c r="Q75" s="674" t="n">
        <v>1.435381673061943</v>
      </c>
      <c r="R75" s="495" t="n">
        <v>0.07245156179320428</v>
      </c>
      <c r="S75" s="495" t="n">
        <v>0.2869188949295462</v>
      </c>
      <c r="T75" s="495" t="n">
        <v>0.5580856812041683</v>
      </c>
      <c r="U75" s="234" t="n"/>
      <c r="V75" s="234" t="n"/>
    </row>
    <row r="76">
      <c r="A76" s="377" t="inlineStr">
        <is>
          <t>Retail (Grocery and Food)</t>
        </is>
      </c>
      <c r="B76" s="673" t="n">
        <v>215</v>
      </c>
      <c r="C76" s="495" t="n">
        <v>0.026</v>
      </c>
      <c r="D76" s="495" t="n">
        <v>0.05110000000000001</v>
      </c>
      <c r="E76" s="495" t="n">
        <v>0.09089999999999999</v>
      </c>
      <c r="F76" s="495" t="n">
        <v>0.008902122029422661</v>
      </c>
      <c r="G76" s="495" t="n">
        <v>0.03144820295983087</v>
      </c>
      <c r="H76" s="495" t="n">
        <v>0.05304518664047152</v>
      </c>
      <c r="I76" s="674" t="n">
        <v>2.139207762493394</v>
      </c>
      <c r="J76" s="674" t="n">
        <v>3.186098856576933</v>
      </c>
      <c r="K76" s="674" t="n">
        <v>4.567669172932331</v>
      </c>
      <c r="L76" s="495" t="n">
        <v>0.0689633633202282</v>
      </c>
      <c r="M76" s="495" t="n">
        <v>0.07281602181549889</v>
      </c>
      <c r="N76" s="495" t="n">
        <v>0.0820620127885129</v>
      </c>
      <c r="O76" s="674" t="n">
        <v>0.2510199031106136</v>
      </c>
      <c r="P76" s="674" t="n">
        <v>0.6691327182753835</v>
      </c>
      <c r="Q76" s="674" t="n">
        <v>1.118525260579975</v>
      </c>
      <c r="R76" s="495" t="n">
        <v>0.09916358402816244</v>
      </c>
      <c r="S76" s="495" t="n">
        <v>0.2622163866424695</v>
      </c>
      <c r="T76" s="495" t="n">
        <v>0.4317343173431734</v>
      </c>
      <c r="U76" s="234" t="n"/>
      <c r="V76" s="234" t="n"/>
    </row>
    <row r="77">
      <c r="A77" s="377" t="inlineStr">
        <is>
          <t>Retail (REITs)</t>
        </is>
      </c>
      <c r="B77" s="673" t="n">
        <v>113</v>
      </c>
      <c r="C77" s="495" t="n">
        <v>0.0238</v>
      </c>
      <c r="D77" s="495" t="n">
        <v>0.04769999999999999</v>
      </c>
      <c r="E77" s="495" t="n">
        <v>0.07470000000000002</v>
      </c>
      <c r="F77" s="495" t="n">
        <v>0.3797958465329109</v>
      </c>
      <c r="G77" s="495" t="n">
        <v>0.5802409638554217</v>
      </c>
      <c r="H77" s="495" t="n">
        <v>0.6676172008668871</v>
      </c>
      <c r="I77" s="674" t="n">
        <v>0.08177558946173151</v>
      </c>
      <c r="J77" s="674" t="n">
        <v>0.1039325842696629</v>
      </c>
      <c r="K77" s="674" t="n">
        <v>0.1379735276256729</v>
      </c>
      <c r="L77" s="495" t="n">
        <v>0.05415588906558674</v>
      </c>
      <c r="M77" s="495" t="n">
        <v>0.05647153988221097</v>
      </c>
      <c r="N77" s="495" t="n">
        <v>0.06354562554234947</v>
      </c>
      <c r="O77" s="674" t="n">
        <v>0.3091006035392463</v>
      </c>
      <c r="P77" s="674" t="n">
        <v>0.6137584822073235</v>
      </c>
      <c r="Q77" s="674" t="n">
        <v>0.8090231853125175</v>
      </c>
      <c r="R77" s="495" t="n">
        <v>0.3024978421187552</v>
      </c>
      <c r="S77" s="495" t="n">
        <v>0.4171361584326065</v>
      </c>
      <c r="T77" s="495" t="n">
        <v>0.5299610894941634</v>
      </c>
      <c r="U77" s="234" t="n"/>
      <c r="V77" s="234" t="n"/>
    </row>
    <row r="78">
      <c r="A78" s="377" t="inlineStr">
        <is>
          <t>Retail (Special Lines)</t>
        </is>
      </c>
      <c r="B78" s="673" t="n">
        <v>649</v>
      </c>
      <c r="C78" s="495" t="n">
        <v>0.0266</v>
      </c>
      <c r="D78" s="495" t="n">
        <v>0.0644</v>
      </c>
      <c r="E78" s="495" t="n">
        <v>0.126</v>
      </c>
      <c r="F78" s="495" t="n">
        <v>0.0004831593672656839</v>
      </c>
      <c r="G78" s="495" t="n">
        <v>0.04013671875</v>
      </c>
      <c r="H78" s="495" t="n">
        <v>0.09100877192982455</v>
      </c>
      <c r="I78" s="674" t="n">
        <v>1.391017860239292</v>
      </c>
      <c r="J78" s="674" t="n">
        <v>2.329650740037061</v>
      </c>
      <c r="K78" s="674" t="n">
        <v>4.247891088394777</v>
      </c>
      <c r="L78" s="495" t="n">
        <v>0.07716705169674054</v>
      </c>
      <c r="M78" s="495" t="n">
        <v>0.08277430327446912</v>
      </c>
      <c r="N78" s="495" t="n">
        <v>0.0895442849460746</v>
      </c>
      <c r="O78" s="674" t="n">
        <v>0.3721677090523243</v>
      </c>
      <c r="P78" s="674" t="n">
        <v>0.8487488721464953</v>
      </c>
      <c r="Q78" s="674" t="n">
        <v>1.399357077205951</v>
      </c>
      <c r="R78" s="495" t="n">
        <v>0.05356085114138606</v>
      </c>
      <c r="S78" s="495" t="n">
        <v>0.2047480076560628</v>
      </c>
      <c r="T78" s="495" t="n">
        <v>0.4214752732887149</v>
      </c>
      <c r="U78" s="234" t="n"/>
      <c r="V78" s="234" t="n"/>
    </row>
    <row r="79">
      <c r="A79" s="377" t="inlineStr">
        <is>
          <t>Rubber&amp; Tires</t>
        </is>
      </c>
      <c r="B79" s="673" t="n">
        <v>91</v>
      </c>
      <c r="C79" s="495" t="n">
        <v>0.0177</v>
      </c>
      <c r="D79" s="495" t="n">
        <v>0.0824</v>
      </c>
      <c r="E79" s="495" t="n">
        <v>0.132</v>
      </c>
      <c r="F79" s="495" t="n">
        <v>0.02503015681544029</v>
      </c>
      <c r="G79" s="495" t="n">
        <v>0.05752660922453116</v>
      </c>
      <c r="H79" s="495" t="n">
        <v>0.09486991273142485</v>
      </c>
      <c r="I79" s="674" t="n">
        <v>0.944118104118104</v>
      </c>
      <c r="J79" s="674" t="n">
        <v>1.322956273764259</v>
      </c>
      <c r="K79" s="674" t="n">
        <v>1.762417851577997</v>
      </c>
      <c r="L79" s="495" t="n">
        <v>0.07629248718773085</v>
      </c>
      <c r="M79" s="495" t="n">
        <v>0.08111036905673905</v>
      </c>
      <c r="N79" s="495" t="n">
        <v>0.09315772723972141</v>
      </c>
      <c r="O79" s="674" t="n">
        <v>0.4170828608479512</v>
      </c>
      <c r="P79" s="674" t="n">
        <v>0.9602441336884644</v>
      </c>
      <c r="Q79" s="674" t="n">
        <v>1.41428011604779</v>
      </c>
      <c r="R79" s="495" t="n">
        <v>0.09229466553767993</v>
      </c>
      <c r="S79" s="495" t="n">
        <v>0.2778272484416741</v>
      </c>
      <c r="T79" s="495" t="n">
        <v>0.4475357710651828</v>
      </c>
      <c r="U79" s="234" t="n"/>
      <c r="V79" s="234" t="n"/>
    </row>
    <row r="80">
      <c r="A80" s="377" t="inlineStr">
        <is>
          <t>Semiconductor</t>
        </is>
      </c>
      <c r="B80" s="673" t="n">
        <v>675</v>
      </c>
      <c r="C80" s="495" t="n">
        <v>0.07389999999999999</v>
      </c>
      <c r="D80" s="495" t="n">
        <v>0.18</v>
      </c>
      <c r="E80" s="495" t="n">
        <v>0.322</v>
      </c>
      <c r="F80" s="495" t="n">
        <v>-0.1503350083752094</v>
      </c>
      <c r="G80" s="495" t="n">
        <v>0.01439539347408829</v>
      </c>
      <c r="H80" s="495" t="n">
        <v>0.1151098901098901</v>
      </c>
      <c r="I80" s="674" t="n">
        <v>0.488594636697452</v>
      </c>
      <c r="J80" s="674" t="n">
        <v>0.8871794871794872</v>
      </c>
      <c r="K80" s="674" t="n">
        <v>1.640402347024309</v>
      </c>
      <c r="L80" s="495" t="n">
        <v>0.1270476202866501</v>
      </c>
      <c r="M80" s="495" t="n">
        <v>0.13217402531671</v>
      </c>
      <c r="N80" s="495" t="n">
        <v>0.1340237631173519</v>
      </c>
      <c r="O80" s="674" t="n">
        <v>1.217704957526992</v>
      </c>
      <c r="P80" s="674" t="n">
        <v>1.848063419989242</v>
      </c>
      <c r="Q80" s="674" t="n">
        <v>2.450825708678755</v>
      </c>
      <c r="R80" s="495" t="n">
        <v>0.00525995634594053</v>
      </c>
      <c r="S80" s="495" t="n">
        <v>0.05251374141551209</v>
      </c>
      <c r="T80" s="495" t="n">
        <v>0.1849217021645773</v>
      </c>
      <c r="U80" s="234" t="n"/>
      <c r="V80" s="234" t="n"/>
    </row>
    <row r="81">
      <c r="A81" s="377" t="inlineStr">
        <is>
          <t>Semiconductor Equip</t>
        </is>
      </c>
      <c r="B81" s="673" t="n">
        <v>391</v>
      </c>
      <c r="C81" s="495" t="n">
        <v>0.0622</v>
      </c>
      <c r="D81" s="495" t="n">
        <v>0.125</v>
      </c>
      <c r="E81" s="495" t="n">
        <v>0.238</v>
      </c>
      <c r="F81" s="495" t="n">
        <v>-0.03772189349112426</v>
      </c>
      <c r="G81" s="495" t="n">
        <v>0.07673267326732673</v>
      </c>
      <c r="H81" s="495" t="n">
        <v>0.1795096322241681</v>
      </c>
      <c r="I81" s="674" t="n">
        <v>0.4948453608247423</v>
      </c>
      <c r="J81" s="674" t="n">
        <v>0.8650306748466258</v>
      </c>
      <c r="K81" s="674" t="n">
        <v>1.435479414202819</v>
      </c>
      <c r="L81" s="495" t="n">
        <v>0.1353375421449724</v>
      </c>
      <c r="M81" s="495" t="n">
        <v>0.1421777360489984</v>
      </c>
      <c r="N81" s="495" t="n">
        <v>0.1455740561050118</v>
      </c>
      <c r="O81" s="674" t="n">
        <v>1.368746429322774</v>
      </c>
      <c r="P81" s="674" t="n">
        <v>2.111297612054185</v>
      </c>
      <c r="Q81" s="674" t="n">
        <v>2.856299144698176</v>
      </c>
      <c r="R81" s="495" t="n">
        <v>0.01245082532343756</v>
      </c>
      <c r="S81" s="495" t="n">
        <v>0.07704918032786887</v>
      </c>
      <c r="T81" s="495" t="n">
        <v>0.2330693150365594</v>
      </c>
      <c r="U81" s="234" t="n"/>
      <c r="V81" s="234" t="n"/>
    </row>
    <row r="82">
      <c r="A82" s="377" t="inlineStr">
        <is>
          <t>Shipbuilding &amp; Marine</t>
        </is>
      </c>
      <c r="B82" s="673" t="n">
        <v>359</v>
      </c>
      <c r="C82" s="495" t="n">
        <v>-0.0176</v>
      </c>
      <c r="D82" s="495" t="n">
        <v>0.0245</v>
      </c>
      <c r="E82" s="495" t="n">
        <v>0.0864</v>
      </c>
      <c r="F82" s="495" t="n">
        <v>0.03277027027027027</v>
      </c>
      <c r="G82" s="495" t="n">
        <v>0.123110151187905</v>
      </c>
      <c r="H82" s="495" t="n">
        <v>0.2356030693585636</v>
      </c>
      <c r="I82" s="674" t="n">
        <v>0.3434547607063361</v>
      </c>
      <c r="J82" s="674" t="n">
        <v>0.5990699555196118</v>
      </c>
      <c r="K82" s="674" t="n">
        <v>1.111090227919157</v>
      </c>
      <c r="L82" s="495" t="n">
        <v>0.07597692833556399</v>
      </c>
      <c r="M82" s="495" t="n">
        <v>0.08060423951672692</v>
      </c>
      <c r="N82" s="495" t="n">
        <v>0.09384281250440693</v>
      </c>
      <c r="O82" s="674" t="n">
        <v>0.3266816019372614</v>
      </c>
      <c r="P82" s="674" t="n">
        <v>0.7804483420589714</v>
      </c>
      <c r="Q82" s="674" t="n">
        <v>1.392869291568942</v>
      </c>
      <c r="R82" s="495" t="n">
        <v>0.05968656218739581</v>
      </c>
      <c r="S82" s="495" t="n">
        <v>0.2233009708737864</v>
      </c>
      <c r="T82" s="495" t="n">
        <v>0.4581667179329437</v>
      </c>
      <c r="U82" s="234" t="n"/>
      <c r="V82" s="234" t="n"/>
    </row>
    <row r="83">
      <c r="A83" s="377" t="inlineStr">
        <is>
          <t>Shoe</t>
        </is>
      </c>
      <c r="B83" s="673" t="n">
        <v>84</v>
      </c>
      <c r="C83" s="495" t="n">
        <v>0.0134</v>
      </c>
      <c r="D83" s="495" t="n">
        <v>0.05980000000000001</v>
      </c>
      <c r="E83" s="495" t="n">
        <v>0.111</v>
      </c>
      <c r="F83" s="495" t="n">
        <v>-0.0213943950786056</v>
      </c>
      <c r="G83" s="495" t="n">
        <v>0.06196078431372549</v>
      </c>
      <c r="H83" s="495" t="n">
        <v>0.1117400419287212</v>
      </c>
      <c r="I83" s="674" t="n">
        <v>1.004143856172755</v>
      </c>
      <c r="J83" s="674" t="n">
        <v>1.569374600146217</v>
      </c>
      <c r="K83" s="674" t="n">
        <v>2.414646676941759</v>
      </c>
      <c r="L83" s="495" t="n">
        <v>0.08230417333835138</v>
      </c>
      <c r="M83" s="495" t="n">
        <v>0.08469742220206203</v>
      </c>
      <c r="N83" s="495" t="n">
        <v>0.1012908785656396</v>
      </c>
      <c r="O83" s="674" t="n">
        <v>0.2512556986577776</v>
      </c>
      <c r="P83" s="674" t="n">
        <v>0.8730444947249923</v>
      </c>
      <c r="Q83" s="674" t="n">
        <v>1.576060102485668</v>
      </c>
      <c r="R83" s="495" t="n">
        <v>0.02100713639561765</v>
      </c>
      <c r="S83" s="495" t="n">
        <v>0.1114959371253497</v>
      </c>
      <c r="T83" s="495" t="n">
        <v>0.3481529911735861</v>
      </c>
      <c r="U83" s="234" t="n"/>
      <c r="V83" s="234" t="n"/>
    </row>
    <row r="84">
      <c r="A84" s="377" t="inlineStr">
        <is>
          <t>Software (Entertainment)</t>
        </is>
      </c>
      <c r="B84" s="673" t="n">
        <v>298</v>
      </c>
      <c r="C84" s="495" t="n">
        <v>0.04019999999999999</v>
      </c>
      <c r="D84" s="495" t="n">
        <v>0.103</v>
      </c>
      <c r="E84" s="495" t="n">
        <v>0.182</v>
      </c>
      <c r="F84" s="495" t="n">
        <v>-0.09722222222222221</v>
      </c>
      <c r="G84" s="495" t="n">
        <v>0.03747276688453159</v>
      </c>
      <c r="H84" s="495" t="n">
        <v>0.1486325802615933</v>
      </c>
      <c r="I84" s="674" t="n">
        <v>0.9712230215827335</v>
      </c>
      <c r="J84" s="674" t="n">
        <v>2.385931558935362</v>
      </c>
      <c r="K84" s="674" t="n">
        <v>5.947075208913651</v>
      </c>
      <c r="L84" s="495" t="n">
        <v>0.09053327787561695</v>
      </c>
      <c r="M84" s="495" t="n">
        <v>0.0958043923406332</v>
      </c>
      <c r="N84" s="495" t="n">
        <v>0.1010157089936661</v>
      </c>
      <c r="O84" s="674" t="n">
        <v>0.5690929926627469</v>
      </c>
      <c r="P84" s="674" t="n">
        <v>1.107747072811117</v>
      </c>
      <c r="Q84" s="674" t="n">
        <v>1.757298507744408</v>
      </c>
      <c r="R84" s="495" t="n">
        <v>0.003140630452483425</v>
      </c>
      <c r="S84" s="495" t="n">
        <v>0.04239766081871345</v>
      </c>
      <c r="T84" s="495" t="n">
        <v>0.2677339389809411</v>
      </c>
      <c r="U84" s="234" t="n"/>
      <c r="V84" s="234" t="n"/>
    </row>
    <row r="85">
      <c r="A85" s="377" t="inlineStr">
        <is>
          <t>Software (Internet)</t>
        </is>
      </c>
      <c r="B85" s="673" t="n">
        <v>150</v>
      </c>
      <c r="C85" s="495" t="n">
        <v>0.0515</v>
      </c>
      <c r="D85" s="495" t="n">
        <v>0.103</v>
      </c>
      <c r="E85" s="495" t="n">
        <v>0.213</v>
      </c>
      <c r="F85" s="495" t="n">
        <v>-0.1177892918825561</v>
      </c>
      <c r="G85" s="495" t="n">
        <v>0.04073647871116225</v>
      </c>
      <c r="H85" s="495" t="n">
        <v>0.1053027802503629</v>
      </c>
      <c r="I85" s="674" t="n">
        <v>0.6885628542847616</v>
      </c>
      <c r="J85" s="674" t="n">
        <v>1.361111111111111</v>
      </c>
      <c r="K85" s="674" t="n">
        <v>3.662374821173105</v>
      </c>
      <c r="L85" s="495" t="n">
        <v>0.0968390122665297</v>
      </c>
      <c r="M85" s="495" t="n">
        <v>0.1035362740032355</v>
      </c>
      <c r="N85" s="495" t="n">
        <v>0.1079572288388996</v>
      </c>
      <c r="O85" s="674" t="n">
        <v>0.6790689815454847</v>
      </c>
      <c r="P85" s="674" t="n">
        <v>1.201981027563686</v>
      </c>
      <c r="Q85" s="674" t="n">
        <v>1.986234607292739</v>
      </c>
      <c r="R85" s="495" t="n">
        <v>0.01398048008441045</v>
      </c>
      <c r="S85" s="495" t="n">
        <v>0.1029641185647426</v>
      </c>
      <c r="T85" s="495" t="n">
        <v>0.2613908872901679</v>
      </c>
      <c r="U85" s="234" t="n"/>
      <c r="V85" s="234" t="n"/>
    </row>
    <row r="86">
      <c r="A86" s="377" t="inlineStr">
        <is>
          <t>Software (System &amp; Application)</t>
        </is>
      </c>
      <c r="B86" s="673" t="n">
        <v>1532</v>
      </c>
      <c r="C86" s="495" t="n">
        <v>0.0638</v>
      </c>
      <c r="D86" s="495" t="n">
        <v>0.13</v>
      </c>
      <c r="E86" s="495" t="n">
        <v>0.209</v>
      </c>
      <c r="F86" s="495" t="n">
        <v>-0.2244301578024547</v>
      </c>
      <c r="G86" s="495" t="n">
        <v>0.006301374153730808</v>
      </c>
      <c r="H86" s="495" t="n">
        <v>0.1211717709720373</v>
      </c>
      <c r="I86" s="674" t="n">
        <v>0.6402664692820133</v>
      </c>
      <c r="J86" s="674" t="n">
        <v>1.528421052631579</v>
      </c>
      <c r="K86" s="674" t="n">
        <v>3.584070796460177</v>
      </c>
      <c r="L86" s="495" t="n">
        <v>0.09610686551597364</v>
      </c>
      <c r="M86" s="495" t="n">
        <v>0.1040061472074673</v>
      </c>
      <c r="N86" s="495" t="n">
        <v>0.1077651873120357</v>
      </c>
      <c r="O86" s="674" t="n">
        <v>0.6648015265935443</v>
      </c>
      <c r="P86" s="674" t="n">
        <v>1.202697825791081</v>
      </c>
      <c r="Q86" s="674" t="n">
        <v>1.891241916021585</v>
      </c>
      <c r="R86" s="495" t="n">
        <v>0.002777943040726384</v>
      </c>
      <c r="S86" s="495" t="n">
        <v>0.03187721369539551</v>
      </c>
      <c r="T86" s="495" t="n">
        <v>0.1437843235147279</v>
      </c>
      <c r="U86" s="234" t="n"/>
      <c r="V86" s="234" t="n"/>
    </row>
    <row r="87">
      <c r="A87" s="377" t="inlineStr">
        <is>
          <t>Steel</t>
        </is>
      </c>
      <c r="B87" s="673" t="n">
        <v>719</v>
      </c>
      <c r="C87" s="495" t="n">
        <v>-0.00254</v>
      </c>
      <c r="D87" s="495" t="n">
        <v>0.0476</v>
      </c>
      <c r="E87" s="495" t="n">
        <v>0.112</v>
      </c>
      <c r="F87" s="495" t="n">
        <v>-0.01048960429242119</v>
      </c>
      <c r="G87" s="495" t="n">
        <v>0.0285376428852976</v>
      </c>
      <c r="H87" s="495" t="n">
        <v>0.07777188328912468</v>
      </c>
      <c r="I87" s="674" t="n">
        <v>0.7329197053807917</v>
      </c>
      <c r="J87" s="674" t="n">
        <v>1.204839457069488</v>
      </c>
      <c r="K87" s="674" t="n">
        <v>1.899309342057433</v>
      </c>
      <c r="L87" s="495" t="n">
        <v>0.08229132167925568</v>
      </c>
      <c r="M87" s="495" t="n">
        <v>0.08725767275541317</v>
      </c>
      <c r="N87" s="495" t="n">
        <v>0.1037775751399355</v>
      </c>
      <c r="O87" s="674" t="n">
        <v>0.5692605336117998</v>
      </c>
      <c r="P87" s="674" t="n">
        <v>1.153757961750168</v>
      </c>
      <c r="Q87" s="674" t="n">
        <v>1.69844933649205</v>
      </c>
      <c r="R87" s="495" t="n">
        <v>0.02532453713556076</v>
      </c>
      <c r="S87" s="495" t="n">
        <v>0.2180616740088106</v>
      </c>
      <c r="T87" s="495" t="n">
        <v>0.4763466105354058</v>
      </c>
      <c r="U87" s="234" t="n"/>
      <c r="V87" s="234" t="n"/>
    </row>
    <row r="88">
      <c r="A88" s="377" t="inlineStr">
        <is>
          <t>Telecom (Wireless)</t>
        </is>
      </c>
      <c r="B88" s="673" t="n">
        <v>101</v>
      </c>
      <c r="C88" s="495" t="n">
        <v>0.0247</v>
      </c>
      <c r="D88" s="495" t="n">
        <v>0.0496</v>
      </c>
      <c r="E88" s="495" t="n">
        <v>0.09300000000000001</v>
      </c>
      <c r="F88" s="495" t="n">
        <v>0.06644763527216679</v>
      </c>
      <c r="G88" s="495" t="n">
        <v>0.1423639075266075</v>
      </c>
      <c r="H88" s="495" t="n">
        <v>0.2225802986357289</v>
      </c>
      <c r="I88" s="674" t="n">
        <v>0.6297961612307618</v>
      </c>
      <c r="J88" s="674" t="n">
        <v>0.896585223079869</v>
      </c>
      <c r="K88" s="674" t="n">
        <v>1.893256401009737</v>
      </c>
      <c r="L88" s="495" t="n">
        <v>0.06638582214346275</v>
      </c>
      <c r="M88" s="495" t="n">
        <v>0.07048381554731434</v>
      </c>
      <c r="N88" s="495" t="n">
        <v>0.08079987726589843</v>
      </c>
      <c r="O88" s="674" t="n">
        <v>0.2749942752280268</v>
      </c>
      <c r="P88" s="674" t="n">
        <v>0.5436208335179404</v>
      </c>
      <c r="Q88" s="674" t="n">
        <v>1.014587602637658</v>
      </c>
      <c r="R88" s="495" t="n">
        <v>0.05690605611960017</v>
      </c>
      <c r="S88" s="495" t="n">
        <v>0.2165090874783512</v>
      </c>
      <c r="T88" s="495" t="n">
        <v>0.3802672147995889</v>
      </c>
      <c r="U88" s="828" t="n"/>
      <c r="V88" s="828" t="n"/>
    </row>
    <row r="89">
      <c r="A89" s="377" t="inlineStr">
        <is>
          <t>Telecom. Equipment</t>
        </is>
      </c>
      <c r="B89" s="673" t="n">
        <v>437</v>
      </c>
      <c r="C89" s="495" t="n">
        <v>0.0498</v>
      </c>
      <c r="D89" s="495" t="n">
        <v>0.119</v>
      </c>
      <c r="E89" s="495" t="n">
        <v>0.24</v>
      </c>
      <c r="F89" s="495" t="n">
        <v>-0.08880931065353626</v>
      </c>
      <c r="G89" s="495" t="n">
        <v>0.01742398360095661</v>
      </c>
      <c r="H89" s="495" t="n">
        <v>0.07352941176470587</v>
      </c>
      <c r="I89" s="674" t="n">
        <v>0.6602207951511652</v>
      </c>
      <c r="J89" s="674" t="n">
        <v>1.227816268611743</v>
      </c>
      <c r="K89" s="674" t="n">
        <v>2.167641325536062</v>
      </c>
      <c r="L89" s="495" t="n">
        <v>0.09738752508521667</v>
      </c>
      <c r="M89" s="495" t="n">
        <v>0.103163217023997</v>
      </c>
      <c r="N89" s="495" t="n">
        <v>0.1059952888872719</v>
      </c>
      <c r="O89" s="674" t="n">
        <v>0.7382690178356416</v>
      </c>
      <c r="P89" s="674" t="n">
        <v>1.28081931012964</v>
      </c>
      <c r="Q89" s="674" t="n">
        <v>1.898521596344393</v>
      </c>
      <c r="R89" s="495" t="n">
        <v>0.01289848292454722</v>
      </c>
      <c r="S89" s="495" t="n">
        <v>0.07575757575757575</v>
      </c>
      <c r="T89" s="495" t="n">
        <v>0.2175339656498334</v>
      </c>
      <c r="U89" s="828" t="n"/>
      <c r="V89" s="828" t="n"/>
    </row>
    <row r="90">
      <c r="A90" s="377" t="inlineStr">
        <is>
          <t>Telecom. Services</t>
        </is>
      </c>
      <c r="B90" s="673" t="n">
        <v>283</v>
      </c>
      <c r="C90" s="495" t="n">
        <v>0.0187</v>
      </c>
      <c r="D90" s="495" t="n">
        <v>0.038</v>
      </c>
      <c r="E90" s="495" t="n">
        <v>0.0892</v>
      </c>
      <c r="F90" s="495" t="n">
        <v>0.03122270742358078</v>
      </c>
      <c r="G90" s="495" t="n">
        <v>0.1085545311943251</v>
      </c>
      <c r="H90" s="495" t="n">
        <v>0.2056631892697467</v>
      </c>
      <c r="I90" s="674" t="n">
        <v>0.5343825812188657</v>
      </c>
      <c r="J90" s="674" t="n">
        <v>0.9188737106216895</v>
      </c>
      <c r="K90" s="674" t="n">
        <v>1.996979358952844</v>
      </c>
      <c r="L90" s="495" t="n">
        <v>0.06162175847487199</v>
      </c>
      <c r="M90" s="495" t="n">
        <v>0.06513094842993263</v>
      </c>
      <c r="N90" s="495" t="n">
        <v>0.07321177991054575</v>
      </c>
      <c r="O90" s="674" t="n">
        <v>0.2197702183728824</v>
      </c>
      <c r="P90" s="674" t="n">
        <v>0.6231126990748338</v>
      </c>
      <c r="Q90" s="674" t="n">
        <v>1.103005332017788</v>
      </c>
      <c r="R90" s="495" t="n">
        <v>0.03912994730350935</v>
      </c>
      <c r="S90" s="495" t="n">
        <v>0.2418397626112759</v>
      </c>
      <c r="T90" s="495" t="n">
        <v>0.4739663093415008</v>
      </c>
      <c r="U90" s="828" t="n"/>
      <c r="V90" s="828" t="n"/>
    </row>
    <row r="91">
      <c r="A91" s="377" t="inlineStr">
        <is>
          <t>Tobacco</t>
        </is>
      </c>
      <c r="B91" s="673" t="n">
        <v>48</v>
      </c>
      <c r="C91" s="495" t="n">
        <v>-0.00645</v>
      </c>
      <c r="D91" s="495" t="n">
        <v>0.07270000000000001</v>
      </c>
      <c r="E91" s="495" t="n">
        <v>0.16</v>
      </c>
      <c r="F91" s="495" t="n">
        <v>0.05876490153033705</v>
      </c>
      <c r="G91" s="495" t="n">
        <v>0.169869331283628</v>
      </c>
      <c r="H91" s="495" t="n">
        <v>0.3127777714951316</v>
      </c>
      <c r="I91" s="674" t="n">
        <v>0.6269247690277167</v>
      </c>
      <c r="J91" s="674" t="n">
        <v>1.266824675289026</v>
      </c>
      <c r="K91" s="674" t="n">
        <v>2.566829752534922</v>
      </c>
      <c r="L91" s="495" t="n">
        <v>0.05523681741638059</v>
      </c>
      <c r="M91" s="495" t="n">
        <v>0.06280501675243835</v>
      </c>
      <c r="N91" s="495" t="n">
        <v>0.06966802940365763</v>
      </c>
      <c r="O91" s="674" t="n">
        <v>-0.08600014499003784</v>
      </c>
      <c r="P91" s="674" t="n">
        <v>0.2291345985967895</v>
      </c>
      <c r="Q91" s="674" t="n">
        <v>0.8097098021800631</v>
      </c>
      <c r="R91" s="495" t="n">
        <v>0.00136775221177652</v>
      </c>
      <c r="S91" s="495" t="n">
        <v>0.1500335386466358</v>
      </c>
      <c r="T91" s="495" t="n">
        <v>0.3079550305962715</v>
      </c>
      <c r="U91" s="828" t="n"/>
      <c r="V91" s="828" t="n"/>
    </row>
    <row r="92">
      <c r="A92" s="377" t="inlineStr">
        <is>
          <t>Transportation</t>
        </is>
      </c>
      <c r="B92" s="673" t="n">
        <v>451</v>
      </c>
      <c r="C92" s="495" t="n">
        <v>0.0266</v>
      </c>
      <c r="D92" s="495" t="n">
        <v>0.0663</v>
      </c>
      <c r="E92" s="495" t="n">
        <v>0.116</v>
      </c>
      <c r="F92" s="495" t="n">
        <v>0.01053387112844717</v>
      </c>
      <c r="G92" s="495" t="n">
        <v>0.05659090909090909</v>
      </c>
      <c r="H92" s="495" t="n">
        <v>0.1291479820627803</v>
      </c>
      <c r="I92" s="674" t="n">
        <v>0.5414910542328411</v>
      </c>
      <c r="J92" s="674" t="n">
        <v>1.491146318732526</v>
      </c>
      <c r="K92" s="674" t="n">
        <v>2.915568862275449</v>
      </c>
      <c r="L92" s="495" t="n">
        <v>0.07371782693775925</v>
      </c>
      <c r="M92" s="495" t="n">
        <v>0.07741369568852324</v>
      </c>
      <c r="N92" s="495" t="n">
        <v>0.08965248031284295</v>
      </c>
      <c r="O92" s="674" t="n">
        <v>0.3518274318697269</v>
      </c>
      <c r="P92" s="674" t="n">
        <v>0.8249003600644853</v>
      </c>
      <c r="Q92" s="674" t="n">
        <v>1.36843716185808</v>
      </c>
      <c r="R92" s="495" t="n">
        <v>0.07098976109215019</v>
      </c>
      <c r="S92" s="495" t="n">
        <v>0.2690329051671143</v>
      </c>
      <c r="T92" s="495" t="n">
        <v>0.4876579203109815</v>
      </c>
      <c r="U92" s="828" t="n"/>
      <c r="V92" s="828" t="n"/>
    </row>
    <row r="93">
      <c r="A93" s="377" t="inlineStr">
        <is>
          <t>Transportation (Railroads)</t>
        </is>
      </c>
      <c r="B93" s="673" t="n">
        <v>54</v>
      </c>
      <c r="C93" s="495" t="n">
        <v>0.0234</v>
      </c>
      <c r="D93" s="495" t="n">
        <v>0.0347</v>
      </c>
      <c r="E93" s="495" t="n">
        <v>0.046</v>
      </c>
      <c r="F93" s="495" t="n">
        <v>0.07715355805243446</v>
      </c>
      <c r="G93" s="495" t="n">
        <v>0.1154679697860609</v>
      </c>
      <c r="H93" s="495" t="n">
        <v>0.2802989091533771</v>
      </c>
      <c r="I93" s="674" t="n">
        <v>0.3665008404417551</v>
      </c>
      <c r="J93" s="674" t="n">
        <v>0.4863025969740269</v>
      </c>
      <c r="K93" s="674" t="n">
        <v>0.8129170775902915</v>
      </c>
      <c r="L93" s="495" t="n">
        <v>0.06092942917527704</v>
      </c>
      <c r="M93" s="495" t="n">
        <v>0.06345553862421906</v>
      </c>
      <c r="N93" s="495" t="n">
        <v>0.0678636350901976</v>
      </c>
      <c r="O93" s="674" t="n">
        <v>0.368078366023367</v>
      </c>
      <c r="P93" s="674" t="n">
        <v>0.6563393243580183</v>
      </c>
      <c r="Q93" s="674" t="n">
        <v>1.001124020173662</v>
      </c>
      <c r="R93" s="495" t="n">
        <v>0.10238184387569</v>
      </c>
      <c r="S93" s="495" t="n">
        <v>0.4462689309624313</v>
      </c>
      <c r="T93" s="495" t="n">
        <v>0.61125</v>
      </c>
      <c r="U93" s="828" t="n"/>
      <c r="V93" s="828" t="n"/>
    </row>
    <row r="94">
      <c r="A94" s="377" t="inlineStr">
        <is>
          <t>Trucking</t>
        </is>
      </c>
      <c r="B94" s="673" t="n">
        <v>130</v>
      </c>
      <c r="C94" s="495" t="n">
        <v>0.0176</v>
      </c>
      <c r="D94" s="495" t="n">
        <v>0.0436</v>
      </c>
      <c r="E94" s="495" t="n">
        <v>0.0911</v>
      </c>
      <c r="F94" s="495" t="n">
        <v>0.0181169757489301</v>
      </c>
      <c r="G94" s="495" t="n">
        <v>0.05141955835962145</v>
      </c>
      <c r="H94" s="495" t="n">
        <v>0.09095302916190463</v>
      </c>
      <c r="I94" s="674" t="n">
        <v>0.80760726090985</v>
      </c>
      <c r="J94" s="674" t="n">
        <v>1.437075421028712</v>
      </c>
      <c r="K94" s="674" t="n">
        <v>2.600780234070221</v>
      </c>
      <c r="L94" s="495" t="n">
        <v>0.06828813836286979</v>
      </c>
      <c r="M94" s="495" t="n">
        <v>0.07314928841471613</v>
      </c>
      <c r="N94" s="495" t="n">
        <v>0.085522653416818</v>
      </c>
      <c r="O94" s="674" t="n">
        <v>0.4245766494155478</v>
      </c>
      <c r="P94" s="674" t="n">
        <v>0.8201297367597689</v>
      </c>
      <c r="Q94" s="674" t="n">
        <v>1.286204819282647</v>
      </c>
      <c r="R94" s="495" t="n">
        <v>0.1150404286112404</v>
      </c>
      <c r="S94" s="495" t="n">
        <v>0.2601729156710257</v>
      </c>
      <c r="T94" s="495" t="n">
        <v>0.4567564090406758</v>
      </c>
      <c r="U94" s="828" t="n"/>
      <c r="V94" s="828" t="n"/>
    </row>
    <row r="95">
      <c r="A95" s="377" t="inlineStr">
        <is>
          <t>Utility (General)</t>
        </is>
      </c>
      <c r="B95" s="673" t="n">
        <v>52</v>
      </c>
      <c r="C95" s="495" t="n">
        <v>0.0155</v>
      </c>
      <c r="D95" s="495" t="n">
        <v>0.0482</v>
      </c>
      <c r="E95" s="495" t="n">
        <v>0.07150000000000001</v>
      </c>
      <c r="F95" s="495" t="n">
        <v>0.0785872781065089</v>
      </c>
      <c r="G95" s="495" t="n">
        <v>0.1700470242791327</v>
      </c>
      <c r="H95" s="495" t="n">
        <v>0.2312907201972178</v>
      </c>
      <c r="I95" s="674" t="n">
        <v>0.2899826807364717</v>
      </c>
      <c r="J95" s="674" t="n">
        <v>0.3704066610353565</v>
      </c>
      <c r="K95" s="674" t="n">
        <v>1.57751160732029</v>
      </c>
      <c r="L95" s="495" t="n">
        <v>0.0522440323660478</v>
      </c>
      <c r="M95" s="495" t="n">
        <v>0.05458059028441027</v>
      </c>
      <c r="N95" s="495" t="n">
        <v>0.05639516923367119</v>
      </c>
      <c r="O95" s="674" t="n">
        <v>0.2040186954724199</v>
      </c>
      <c r="P95" s="674" t="n">
        <v>0.4488788824548018</v>
      </c>
      <c r="Q95" s="674" t="n">
        <v>0.7903696887981227</v>
      </c>
      <c r="R95" s="495" t="n">
        <v>0.3424051629151582</v>
      </c>
      <c r="S95" s="495" t="n">
        <v>0.4588639737479491</v>
      </c>
      <c r="T95" s="495" t="n">
        <v>0.5111797006243598</v>
      </c>
      <c r="U95" s="828" t="n"/>
      <c r="V95" s="828" t="n"/>
    </row>
    <row r="96">
      <c r="A96" s="377" t="inlineStr">
        <is>
          <t>Utility (Water)</t>
        </is>
      </c>
      <c r="B96" s="673" t="n">
        <v>106</v>
      </c>
      <c r="C96" s="495" t="n">
        <v>0.0243</v>
      </c>
      <c r="D96" s="495" t="n">
        <v>0.0677</v>
      </c>
      <c r="E96" s="495" t="n">
        <v>0.144</v>
      </c>
      <c r="F96" s="495" t="n">
        <v>0.05339805825242718</v>
      </c>
      <c r="G96" s="495" t="n">
        <v>0.2241777777777778</v>
      </c>
      <c r="H96" s="495" t="n">
        <v>0.2997001153402538</v>
      </c>
      <c r="I96" s="674" t="n">
        <v>0.2206020309079837</v>
      </c>
      <c r="J96" s="674" t="n">
        <v>0.3263096817648801</v>
      </c>
      <c r="K96" s="674" t="n">
        <v>0.61309151553054</v>
      </c>
      <c r="L96" s="495" t="n">
        <v>0.05877981689083718</v>
      </c>
      <c r="M96" s="495" t="n">
        <v>0.06160065064914391</v>
      </c>
      <c r="N96" s="495" t="n">
        <v>0.06503280157801758</v>
      </c>
      <c r="O96" s="674" t="n">
        <v>0.2261319207875683</v>
      </c>
      <c r="P96" s="674" t="n">
        <v>0.5737149368132096</v>
      </c>
      <c r="Q96" s="674" t="n">
        <v>1.085433641857667</v>
      </c>
      <c r="R96" s="495" t="n">
        <v>0.115983026874116</v>
      </c>
      <c r="S96" s="495" t="n">
        <v>0.3499607976097137</v>
      </c>
      <c r="T96" s="495" t="n">
        <v>0.6184849678351056</v>
      </c>
      <c r="U96" s="828" t="n"/>
      <c r="V96" s="828" t="n"/>
    </row>
  </sheetData>
  <mergeCells count="5">
    <mergeCell ref="L1:N1"/>
    <mergeCell ref="C1:E1"/>
    <mergeCell ref="F1:H1"/>
    <mergeCell ref="I1:K1"/>
    <mergeCell ref="R1:T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10" defaultRowHeight="13"/>
  <cols>
    <col width="34" bestFit="1" customWidth="1" min="1" max="1"/>
    <col width="16" customWidth="1" style="657" min="2" max="2"/>
    <col width="19.83203125" bestFit="1" customWidth="1" style="657" min="3" max="3"/>
    <col width="22.1640625" bestFit="1" customWidth="1" style="657" min="4" max="4"/>
    <col width="14.1640625" bestFit="1" customWidth="1" min="5" max="5"/>
  </cols>
  <sheetData>
    <row r="1">
      <c r="A1" s="829" t="inlineStr">
        <is>
          <t xml:space="preserve">If you are midway through a year, and want to compute updated trailing twelve month numbers, this worksheet may help. You will need your most recent quartely financials (or 10Q) as well as your most recent annual (or 10K). </t>
        </is>
      </c>
      <c r="B1" s="694" t="n"/>
      <c r="C1" s="694" t="n"/>
      <c r="D1" s="694" t="n"/>
      <c r="E1" s="694" t="n"/>
      <c r="F1" s="695" t="n"/>
    </row>
    <row r="2">
      <c r="A2" s="830" t="n"/>
      <c r="F2" s="415" t="n"/>
    </row>
    <row r="3">
      <c r="A3" s="830" t="n"/>
      <c r="F3" s="415" t="n"/>
    </row>
    <row r="4" ht="14" customHeight="1" thickBot="1">
      <c r="A4" s="831" t="n"/>
      <c r="B4" s="832" t="n"/>
      <c r="C4" s="832" t="n"/>
      <c r="D4" s="832" t="n"/>
      <c r="E4" s="832" t="n"/>
      <c r="F4" s="833" t="n"/>
    </row>
    <row r="6">
      <c r="B6" s="80" t="inlineStr">
        <is>
          <t>Last Annual</t>
        </is>
      </c>
      <c r="C6" s="80" t="inlineStr">
        <is>
          <t>First X months: Last year</t>
        </is>
      </c>
      <c r="D6" s="80" t="inlineStr">
        <is>
          <t>First X months: Current year</t>
        </is>
      </c>
      <c r="E6" s="80" t="inlineStr">
        <is>
          <t>Trailing 12 month</t>
        </is>
      </c>
    </row>
    <row r="7" ht="14" customHeight="1">
      <c r="A7" s="36" t="inlineStr">
        <is>
          <t>Revenues</t>
        </is>
      </c>
      <c r="B7" s="834" t="n">
        <v>15794.34</v>
      </c>
      <c r="C7" s="834" t="n">
        <v>7608.13</v>
      </c>
      <c r="D7" s="834" t="n">
        <v>9444.110000000001</v>
      </c>
      <c r="E7" s="835">
        <f>B7-C7+D7</f>
        <v/>
      </c>
    </row>
    <row r="8" ht="14" customHeight="1">
      <c r="A8" s="36" t="inlineStr">
        <is>
          <t>Technology &amp; Content</t>
        </is>
      </c>
      <c r="B8" s="834" t="n">
        <v>1221.81</v>
      </c>
      <c r="C8" s="834" t="n">
        <v>581.41</v>
      </c>
      <c r="D8" s="834" t="n">
        <v>756</v>
      </c>
      <c r="E8" s="835">
        <f>B8-C8+D8</f>
        <v/>
      </c>
    </row>
    <row r="9" ht="14" customHeight="1">
      <c r="A9" s="36" t="inlineStr">
        <is>
          <t>Operating income or EBIT</t>
        </is>
      </c>
      <c r="B9" s="834" t="n">
        <v>1605.23</v>
      </c>
      <c r="C9" s="834" t="n">
        <v>908.79</v>
      </c>
      <c r="D9" s="834" t="n">
        <v>1165.5</v>
      </c>
      <c r="E9" s="835">
        <f>B9-C9+D9</f>
        <v/>
      </c>
    </row>
    <row r="10" ht="14" customHeight="1">
      <c r="A10" s="36" t="inlineStr">
        <is>
          <t>Interest expenses</t>
        </is>
      </c>
      <c r="B10" s="834" t="n">
        <v>420.49</v>
      </c>
      <c r="C10" s="834" t="n">
        <v>182.82</v>
      </c>
      <c r="D10" s="834" t="n">
        <v>287.56</v>
      </c>
      <c r="E10" s="835">
        <f>B10-C10+D10</f>
        <v/>
      </c>
    </row>
    <row r="11" ht="14" customHeight="1">
      <c r="A11" s="36" t="inlineStr">
        <is>
          <t>Book value of equity</t>
        </is>
      </c>
      <c r="B11" s="834" t="n">
        <v>5238.77</v>
      </c>
      <c r="C11" s="834" t="n"/>
      <c r="D11" s="834" t="n">
        <v>6105.55</v>
      </c>
      <c r="E11" s="835" t="n"/>
    </row>
    <row r="12" ht="14" customHeight="1">
      <c r="A12" s="36" t="inlineStr">
        <is>
          <t>Book value of debt</t>
        </is>
      </c>
      <c r="B12" s="834" t="n">
        <v>10360</v>
      </c>
      <c r="C12" s="834" t="n"/>
      <c r="D12" s="834" t="n">
        <v>12594.14</v>
      </c>
      <c r="E12" s="835" t="n"/>
    </row>
    <row r="13" ht="14" customHeight="1">
      <c r="A13" s="36" t="inlineStr">
        <is>
          <t>Do you have operating lease commitments?</t>
        </is>
      </c>
      <c r="B13" s="834" t="n"/>
      <c r="C13" s="834" t="n"/>
      <c r="D13" s="834" t="n"/>
      <c r="E13" s="835" t="n"/>
    </row>
    <row r="14" ht="14" customHeight="1">
      <c r="A14" s="36" t="inlineStr">
        <is>
          <t>Cash and cross holdings</t>
        </is>
      </c>
      <c r="B14" s="834" t="n">
        <v>3794.48</v>
      </c>
      <c r="C14" s="834" t="n"/>
      <c r="D14" s="834" t="n">
        <v>5004.25</v>
      </c>
      <c r="E14" s="835" t="n"/>
    </row>
    <row r="15" ht="14" customHeight="1">
      <c r="A15" s="36" t="inlineStr">
        <is>
          <t xml:space="preserve">Non-operating assets </t>
        </is>
      </c>
      <c r="B15" s="834" t="n">
        <v>0</v>
      </c>
      <c r="C15" s="834" t="n"/>
      <c r="D15" s="834" t="n">
        <v>0</v>
      </c>
      <c r="E15" s="835" t="n"/>
    </row>
    <row r="16" ht="14" customHeight="1">
      <c r="A16" s="36" t="inlineStr">
        <is>
          <t>Minority interests</t>
        </is>
      </c>
      <c r="B16" s="834" t="n">
        <v>0</v>
      </c>
      <c r="C16" s="834" t="n"/>
      <c r="D16" s="834" t="n">
        <v>0</v>
      </c>
      <c r="E16" s="835" t="n"/>
    </row>
    <row r="17" ht="14" customHeight="1">
      <c r="A17" s="36" t="inlineStr">
        <is>
          <t>Number of shares outstanding =</t>
        </is>
      </c>
      <c r="B17" s="834" t="n"/>
      <c r="C17" s="834" t="n"/>
      <c r="D17" s="834" t="n"/>
      <c r="E17" s="835" t="n"/>
    </row>
    <row r="18" ht="14" customHeight="1">
      <c r="A18" s="36" t="inlineStr">
        <is>
          <t>Current stock price =</t>
        </is>
      </c>
      <c r="B18" s="836" t="n"/>
      <c r="C18" s="834" t="n"/>
      <c r="D18" s="834" t="n"/>
      <c r="E18" s="835" t="n"/>
    </row>
    <row r="19" ht="14" customHeight="1">
      <c r="A19" s="36" t="inlineStr">
        <is>
          <t>Effective tax rate =</t>
        </is>
      </c>
      <c r="B19" s="93">
        <f>15885/61372</f>
        <v/>
      </c>
      <c r="C19" s="93">
        <f>6965/27030</f>
        <v/>
      </c>
      <c r="D19" s="93">
        <f>3941/23906</f>
        <v/>
      </c>
      <c r="E19" s="1" t="n"/>
    </row>
    <row r="20" ht="14" customHeight="1">
      <c r="A20" s="36" t="inlineStr">
        <is>
          <t>Marginal tax rate =</t>
        </is>
      </c>
      <c r="B20" s="80" t="n"/>
      <c r="C20" s="80" t="n"/>
      <c r="D20" s="80" t="n"/>
      <c r="E20" s="1" t="n"/>
    </row>
    <row r="21" ht="14" customFormat="1" customHeight="1" s="2">
      <c r="A21" s="37" t="inlineStr">
        <is>
          <t>Lease commitments</t>
        </is>
      </c>
      <c r="B21" s="837" t="n"/>
      <c r="C21" s="837" t="n"/>
      <c r="D21" s="837" t="n"/>
      <c r="E21" s="838" t="n"/>
    </row>
    <row r="22" ht="14" customHeight="1">
      <c r="A22" s="35" t="inlineStr">
        <is>
          <t>Year 1</t>
        </is>
      </c>
      <c r="B22" s="839" t="n">
        <v>172.47</v>
      </c>
      <c r="C22" s="840" t="n"/>
      <c r="D22" s="840" t="inlineStr">
        <is>
          <t>NA</t>
        </is>
      </c>
      <c r="E22" s="841" t="n"/>
    </row>
    <row r="23" ht="14" customHeight="1">
      <c r="A23" s="35" t="inlineStr">
        <is>
          <t>Year 2</t>
        </is>
      </c>
      <c r="B23" s="839" t="n">
        <v>139.4</v>
      </c>
      <c r="C23" s="842" t="inlineStr">
        <is>
          <t>Copy into operating lease worksheet</t>
        </is>
      </c>
      <c r="D23" s="840" t="inlineStr">
        <is>
          <t>NA</t>
        </is>
      </c>
      <c r="E23" s="841" t="n"/>
    </row>
    <row r="24" ht="14" customHeight="1">
      <c r="A24" s="35" t="inlineStr">
        <is>
          <t>Year 3</t>
        </is>
      </c>
      <c r="B24" s="839" t="n">
        <v>145.18</v>
      </c>
      <c r="C24" s="726" t="n"/>
      <c r="D24" s="840" t="inlineStr">
        <is>
          <t>NA</t>
        </is>
      </c>
      <c r="E24" s="841" t="n"/>
    </row>
    <row r="25" ht="14" customHeight="1">
      <c r="A25" s="35" t="inlineStr">
        <is>
          <t>Year 4</t>
        </is>
      </c>
      <c r="B25" s="839" t="n">
        <v>156.53</v>
      </c>
      <c r="C25" s="726" t="n"/>
      <c r="D25" s="840" t="inlineStr">
        <is>
          <t>NA</t>
        </is>
      </c>
      <c r="E25" s="841" t="n"/>
    </row>
    <row r="26" ht="14" customHeight="1">
      <c r="A26" s="35" t="inlineStr">
        <is>
          <t>Year 5</t>
        </is>
      </c>
      <c r="B26" s="839" t="n">
        <v>151.2</v>
      </c>
      <c r="C26" s="726" t="n"/>
      <c r="D26" s="840" t="inlineStr">
        <is>
          <t>NA</t>
        </is>
      </c>
      <c r="E26" s="841" t="n"/>
    </row>
    <row r="27" ht="14" customHeight="1">
      <c r="A27" s="35" t="inlineStr">
        <is>
          <t>Beyond year 5</t>
        </is>
      </c>
      <c r="B27" s="142" t="n">
        <v>943.63</v>
      </c>
      <c r="C27" s="726" t="n"/>
      <c r="D27" s="840" t="inlineStr">
        <is>
          <t>NA</t>
        </is>
      </c>
      <c r="E27" s="841" t="n"/>
    </row>
    <row r="28">
      <c r="B28" s="843" t="n"/>
      <c r="C28" s="726" t="n"/>
    </row>
    <row r="30" ht="14" customHeight="1">
      <c r="A30" s="35" t="inlineStr">
        <is>
          <t>Current year's lease expense</t>
        </is>
      </c>
      <c r="B30" s="844" t="n">
        <v>107</v>
      </c>
    </row>
    <row r="34">
      <c r="D34" s="834" t="n">
        <v>75872</v>
      </c>
    </row>
    <row r="35">
      <c r="D35" s="834" t="n">
        <v>2404</v>
      </c>
    </row>
    <row r="36">
      <c r="D36" s="834" t="n">
        <v>24171</v>
      </c>
    </row>
    <row r="37">
      <c r="D37" s="834" t="n">
        <v>276</v>
      </c>
    </row>
    <row r="41">
      <c r="A41" t="inlineStr">
        <is>
          <t>G&amp;A</t>
        </is>
      </c>
      <c r="B41" s="657" t="n">
        <v>630.29</v>
      </c>
      <c r="C41" s="657" t="n">
        <v>286.14</v>
      </c>
      <c r="D41" s="657" t="n">
        <v>426.61</v>
      </c>
      <c r="E41">
        <f>B41-C41+D41</f>
        <v/>
      </c>
    </row>
    <row r="42">
      <c r="A42" t="inlineStr">
        <is>
          <t>Marketing Costs</t>
        </is>
      </c>
      <c r="B42" s="657" t="n">
        <v>2369.47</v>
      </c>
      <c r="C42" s="657" t="n">
        <v>1128.78</v>
      </c>
      <c r="D42" s="657" t="n">
        <v>1219.73</v>
      </c>
      <c r="E42">
        <f>B42-C42+D42</f>
        <v/>
      </c>
    </row>
    <row r="43">
      <c r="A43" t="inlineStr">
        <is>
          <t>Content Costs</t>
        </is>
      </c>
      <c r="B43" s="657" t="n">
        <v>9967.540000000001</v>
      </c>
      <c r="C43" s="657" t="n">
        <v>4703.01</v>
      </c>
      <c r="D43" s="657" t="n">
        <v>5876.21</v>
      </c>
      <c r="E43">
        <f>B43-C43+D43</f>
        <v/>
      </c>
    </row>
    <row r="45">
      <c r="A45" t="inlineStr">
        <is>
          <t>Content Costs (Cash Flows)</t>
        </is>
      </c>
      <c r="B45" s="657" t="n">
        <v>13043</v>
      </c>
      <c r="C45" s="657" t="n">
        <v>6020.47</v>
      </c>
      <c r="D45" s="657"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46">
      <c r="A1" s="146" t="inlineStr">
        <is>
          <t>Yes/No</t>
        </is>
      </c>
      <c r="B1" s="146" t="inlineStr">
        <is>
          <t>Book or Market Value</t>
        </is>
      </c>
      <c r="C1" s="146" t="inlineStr">
        <is>
          <t>ERP choices</t>
        </is>
      </c>
      <c r="D1" s="146" t="inlineStr">
        <is>
          <t>Cost of debt</t>
        </is>
      </c>
      <c r="E1" s="146" t="inlineStr">
        <is>
          <t>Synthetic rating</t>
        </is>
      </c>
      <c r="F1" s="146" t="inlineStr">
        <is>
          <t>Beta</t>
        </is>
      </c>
      <c r="G1" t="inlineStr">
        <is>
          <t>Rating is</t>
        </is>
      </c>
      <c r="H1" s="146" t="inlineStr">
        <is>
          <t>Region</t>
        </is>
      </c>
      <c r="I1" s="146" t="inlineStr">
        <is>
          <t>Cost of Capital Approach</t>
        </is>
      </c>
      <c r="J1" s="146"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380"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381" t="inlineStr">
        <is>
          <t>First Quartile</t>
        </is>
      </c>
      <c r="I3" t="inlineStr">
        <is>
          <t>Detailed</t>
        </is>
      </c>
      <c r="J3" s="80" t="n">
        <v>1</v>
      </c>
    </row>
    <row r="4">
      <c r="C4" t="inlineStr">
        <is>
          <t>Operating countries</t>
        </is>
      </c>
      <c r="D4" t="inlineStr">
        <is>
          <t>Actual rating</t>
        </is>
      </c>
      <c r="F4" t="inlineStr">
        <is>
          <t>Single Business(Global)</t>
        </is>
      </c>
      <c r="G4" t="inlineStr">
        <is>
          <t>A1/A+</t>
        </is>
      </c>
      <c r="H4" s="381" t="inlineStr">
        <is>
          <t>Median</t>
        </is>
      </c>
      <c r="I4" t="inlineStr">
        <is>
          <t>Industry Average</t>
        </is>
      </c>
      <c r="J4" s="80" t="n">
        <v>2</v>
      </c>
    </row>
    <row r="5">
      <c r="C5" t="inlineStr">
        <is>
          <t>Operating regions</t>
        </is>
      </c>
      <c r="F5" t="inlineStr">
        <is>
          <t>Multibusiness(US)</t>
        </is>
      </c>
      <c r="G5" t="inlineStr">
        <is>
          <t>A2/A</t>
        </is>
      </c>
      <c r="H5" s="381" t="inlineStr">
        <is>
          <t>Third Quartile</t>
        </is>
      </c>
      <c r="I5" t="inlineStr">
        <is>
          <t>Distribution</t>
        </is>
      </c>
      <c r="J5" s="80" t="n">
        <v>3</v>
      </c>
    </row>
    <row r="6">
      <c r="F6" t="inlineStr">
        <is>
          <t>Multibusiness(Global)</t>
        </is>
      </c>
      <c r="G6" t="inlineStr">
        <is>
          <t>A3/A-</t>
        </is>
      </c>
      <c r="H6" s="381"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Aswath Damodaran</dc:creator>
  <dcterms:created xsi:type="dcterms:W3CDTF">2000-02-22T13:53:50Z</dcterms:created>
  <dcterms:modified xsi:type="dcterms:W3CDTF">2026-07-20T05:42:56Z</dcterms:modified>
  <cp:lastModifiedBy>Aswath Damodaran</cp:lastModifiedBy>
  <cp:lastPrinted>2011-01-17T15:04:26Z</cp:lastPrinted>
</cp:coreProperties>
</file>